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Pricing Model" sheetId="3" state="visible" r:id="rId5"/>
    <sheet name="Competitor Benchmarks" sheetId="4" state="visible" r:id="rId6"/>
    <sheet name="Summary" sheetId="5" state="visible" r:id="rId7"/>
    <sheet name="Product Mast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B Active</author>
  </authors>
  <commentList>
    <comment ref="D3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4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5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6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7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8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9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10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11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12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13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14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15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16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17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18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19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20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  <comment ref="D21" authorId="0">
      <text>
        <r>
          <rPr>
            <sz val="10"/>
            <rFont val="Arial"/>
            <family val="2"/>
          </rPr>
          <t xml:space="preserve">Source: Barry Active.xlsx unit Price in Peso</t>
        </r>
      </text>
    </comment>
  </commentList>
</comments>
</file>

<file path=xl/sharedStrings.xml><?xml version="1.0" encoding="utf-8"?>
<sst xmlns="http://schemas.openxmlformats.org/spreadsheetml/2006/main" count="249" uniqueCount="168">
  <si>
    <t xml:space="preserve">B Active — Product &amp; Pricing Master (VAT-inclusive)</t>
  </si>
  <si>
    <t xml:space="preserve">Revised for 12% VAT (prices marked up to absorb VAT). PHP. Companion: B_Active_VAT_Pricing_Explainer.docx</t>
  </si>
  <si>
    <t xml:space="preserve">WHAT CHANGED IN THIS VERSION</t>
  </si>
  <si>
    <t xml:space="preserve">• You are VAT-registered (12%). PH law (DTI all-in pricing) requires displayed price = final price paid — VAT cannot be added at checkout.</t>
  </si>
  <si>
    <t xml:space="preserve">• We MARKED UP each price by ~12% so that, after remitting VAT, your take (net-of-VAT) equals the original target margin.</t>
  </si>
  <si>
    <t xml:space="preserve">• So: the customer pays more; your profit per unit is preserved. Net-of-VAT base ≈ your old price.</t>
  </si>
  <si>
    <t xml:space="preserve">HOW TO READ THE PRICING MODEL TAB</t>
  </si>
  <si>
    <t xml:space="preserve">• 'Old price (pre-VAT)' = the previous number (what your margin was modelled on).</t>
  </si>
  <si>
    <t xml:space="preserve">• 'NEW price (VAT-incl)' = the new displayed/selling price (blue = the input that drives everything).</t>
  </si>
  <si>
    <t xml:space="preserve">• 'Net revenue' = NEW / 1.12 (what you keep before costs; this is the VAT-exclusive base).</t>
  </si>
  <si>
    <t xml:space="preserve">• 'Output VAT' = the 12% portion inside the price that you collect and remit to BIR.</t>
  </si>
  <si>
    <t xml:space="preserve">• 'Gross margin %' and 'Net contribution' are computed on the NET (VAT-exclusive) revenue — the honest view.</t>
  </si>
  <si>
    <t xml:space="preserve">• Colours: blue = input you can change · black = formula · green = pulled from Assumptions.</t>
  </si>
  <si>
    <t xml:space="preserve">KEY POINTS</t>
  </si>
  <si>
    <t xml:space="preserve">1) Margin is preserved: compare 'Gross margin %' new vs old — they match (the markup did its job).</t>
  </si>
  <si>
    <t xml:space="preserve">2) Input VAT credit (not in these numbers): as a VAT-registered business you can credit the 12% VAT you pay on</t>
  </si>
  <si>
    <t xml:space="preserve">   imports, branding, packaging and shipping against the VAT you collect — so the VAT you actually REMIT is LOWER,</t>
  </si>
  <si>
    <t xml:space="preserve">   and your true profit is a bit HIGHER than this conservative sheet shows. Have your accountant quantify it.</t>
  </si>
  <si>
    <t xml:space="preserve">3) Watch the price walls: entry items (tank/skorts/bra) now cross ₱1,000, and top dresses sit at ₱2,990 (just under ₱3,000).</t>
  </si>
  <si>
    <t xml:space="preserve">   Still well below imported brands — see the Competitor Benchmarks tab.</t>
  </si>
  <si>
    <t xml:space="preserve">Source of costs: Barry Active.xlsx. Market bands: research/07_ph_pricing_benchmarks.md. Not tax advice — confirm with your accountant/BIR.</t>
  </si>
  <si>
    <t xml:space="preserve">Assumptions (edit yellow)</t>
  </si>
  <si>
    <t xml:space="preserve">Assumption</t>
  </si>
  <si>
    <t xml:space="preserve">Unit</t>
  </si>
  <si>
    <t xml:space="preserve">Value</t>
  </si>
  <si>
    <t xml:space="preserve">Note</t>
  </si>
  <si>
    <t xml:space="preserve">VAT rate</t>
  </si>
  <si>
    <t xml:space="preserve">%</t>
  </si>
  <si>
    <t xml:space="preserve">PH standard VAT</t>
  </si>
  <si>
    <t xml:space="preserve">Inbound, branding &amp; freight / unit</t>
  </si>
  <si>
    <t xml:space="preserve">₱</t>
  </si>
  <si>
    <t xml:space="preserve">From 2nd-batch logo+hangtag+inbound</t>
  </si>
  <si>
    <t xml:space="preserve">Packaging / unit</t>
  </si>
  <si>
    <t xml:space="preserve">Mailer, tissue, card</t>
  </si>
  <si>
    <t xml:space="preserve">Payment processing (blended)</t>
  </si>
  <si>
    <t xml:space="preserve">PayMongo blended ~2.5% (charged on full collected incl VAT)</t>
  </si>
  <si>
    <t xml:space="preserve">Outbound shipping borne / unit</t>
  </si>
  <si>
    <t xml:space="preserve">After customer-paid + free-ship mix</t>
  </si>
  <si>
    <t xml:space="preserve">Returns/COD RTS allowance / unit</t>
  </si>
  <si>
    <t xml:space="preserve">COD bounce + 7-day exchange</t>
  </si>
  <si>
    <t xml:space="preserve">Pricing Model — VAT-inclusive (₱). Margins computed on net-of-VAT revenue.</t>
  </si>
  <si>
    <t xml:space="preserve">SKU</t>
  </si>
  <si>
    <t xml:space="preserve">Product</t>
  </si>
  <si>
    <t xml:space="preserve">Category</t>
  </si>
  <si>
    <t xml:space="preserve">Product cost</t>
  </si>
  <si>
    <t xml:space="preserve">Loaded cost</t>
  </si>
  <si>
    <t xml:space="preserve">Old price (pre-VAT)</t>
  </si>
  <si>
    <t xml:space="preserve">NEW price (VAT-incl)</t>
  </si>
  <si>
    <t xml:space="preserve">Net revenue (÷1.12)</t>
  </si>
  <si>
    <t xml:space="preserve">Output VAT</t>
  </si>
  <si>
    <t xml:space="preserve">Gross profit</t>
  </si>
  <si>
    <t xml:space="preserve">Gross margin %</t>
  </si>
  <si>
    <t xml:space="preserve">Pay fee</t>
  </si>
  <si>
    <t xml:space="preserve">Ship allow</t>
  </si>
  <si>
    <t xml:space="preserve">Returns allow</t>
  </si>
  <si>
    <t xml:space="preserve">Net contribution</t>
  </si>
  <si>
    <t xml:space="preserve">Net margin %</t>
  </si>
  <si>
    <t xml:space="preserve">Customer Δ vs old</t>
  </si>
  <si>
    <t xml:space="preserve">YY9141</t>
  </si>
  <si>
    <t xml:space="preserve">The Court Dress</t>
  </si>
  <si>
    <t xml:space="preserve">Pickleball Dress</t>
  </si>
  <si>
    <t xml:space="preserve">YY8793</t>
  </si>
  <si>
    <t xml:space="preserve">The Rally Dress</t>
  </si>
  <si>
    <t xml:space="preserve">YY4001</t>
  </si>
  <si>
    <t xml:space="preserve">The Bubble Dress</t>
  </si>
  <si>
    <t xml:space="preserve">AS5019</t>
  </si>
  <si>
    <t xml:space="preserve">The Match Dress</t>
  </si>
  <si>
    <t xml:space="preserve">AS5028</t>
  </si>
  <si>
    <t xml:space="preserve">The Serve Dress</t>
  </si>
  <si>
    <t xml:space="preserve">YY9187</t>
  </si>
  <si>
    <t xml:space="preserve">The Eyelet Dress</t>
  </si>
  <si>
    <t xml:space="preserve">AS818</t>
  </si>
  <si>
    <t xml:space="preserve">The Varsity Dress</t>
  </si>
  <si>
    <t xml:space="preserve">AS811</t>
  </si>
  <si>
    <t xml:space="preserve">The Ace Dress</t>
  </si>
  <si>
    <t xml:space="preserve">DK21-015</t>
  </si>
  <si>
    <t xml:space="preserve">The Everyday Skort</t>
  </si>
  <si>
    <t xml:space="preserve">Skort</t>
  </si>
  <si>
    <t xml:space="preserve">DK251204445</t>
  </si>
  <si>
    <t xml:space="preserve">The Pleated Skort</t>
  </si>
  <si>
    <t xml:space="preserve">DK240420367</t>
  </si>
  <si>
    <t xml:space="preserve">The Flow Skort</t>
  </si>
  <si>
    <t xml:space="preserve">D31</t>
  </si>
  <si>
    <t xml:space="preserve">The Breeze Skort</t>
  </si>
  <si>
    <t xml:space="preserve">D29</t>
  </si>
  <si>
    <t xml:space="preserve">The Court Skort</t>
  </si>
  <si>
    <t xml:space="preserve">ADCK1583</t>
  </si>
  <si>
    <t xml:space="preserve">The Sculpt Legging</t>
  </si>
  <si>
    <t xml:space="preserve">Leggings</t>
  </si>
  <si>
    <t xml:space="preserve">CK1237</t>
  </si>
  <si>
    <t xml:space="preserve">The Core Legging</t>
  </si>
  <si>
    <t xml:space="preserve">WX1506</t>
  </si>
  <si>
    <t xml:space="preserve">The Ribbed Tank</t>
  </si>
  <si>
    <t xml:space="preserve">Top</t>
  </si>
  <si>
    <t xml:space="preserve">ADWX1249</t>
  </si>
  <si>
    <t xml:space="preserve">The Strappy Bra</t>
  </si>
  <si>
    <t xml:space="preserve">Sports Bra</t>
  </si>
  <si>
    <t xml:space="preserve">C36</t>
  </si>
  <si>
    <t xml:space="preserve">The Halter Set</t>
  </si>
  <si>
    <t xml:space="preserve">Set</t>
  </si>
  <si>
    <t xml:space="preserve">PADDLE-1</t>
  </si>
  <si>
    <t xml:space="preserve">B Active Paddle (single)</t>
  </si>
  <si>
    <t xml:space="preserve">Paddle</t>
  </si>
  <si>
    <t xml:space="preserve">AVERAGE / BLENDED</t>
  </si>
  <si>
    <t xml:space="preserve">Margins are on NET (VAT-exclusive) revenue. Net contribution excludes marketing/CAC and input-VAT credit (see Explainer doc). Output VAT shown here is BEFORE crediting input VAT — actual VAT remitted to BIR is lower.</t>
  </si>
  <si>
    <t xml:space="preserve">PH Retail Price Benchmarks by Tier (₱) — research/07. B Active column = NEW VAT-incl.</t>
  </si>
  <si>
    <t xml:space="preserve">Local premium</t>
  </si>
  <si>
    <t xml:space="preserve">Pickleball/Bench/Decathlon</t>
  </si>
  <si>
    <t xml:space="preserve">International (Nike/Lulu) PH</t>
  </si>
  <si>
    <t xml:space="preserve">Shopee/Lazada</t>
  </si>
  <si>
    <t xml:space="preserve">B Active NEW</t>
  </si>
  <si>
    <t xml:space="preserve">Sports bra</t>
  </si>
  <si>
    <t xml:space="preserve">599–1,980</t>
  </si>
  <si>
    <t xml:space="preserve">299–799</t>
  </si>
  <si>
    <t xml:space="preserve">1,295–4,400</t>
  </si>
  <si>
    <t xml:space="preserve">99–1,500</t>
  </si>
  <si>
    <t xml:space="preserve">1,090</t>
  </si>
  <si>
    <t xml:space="preserve">719–1,980</t>
  </si>
  <si>
    <t xml:space="preserve">399–999</t>
  </si>
  <si>
    <t xml:space="preserve">1,695–7,360</t>
  </si>
  <si>
    <t xml:space="preserve">150–1,800</t>
  </si>
  <si>
    <t xml:space="preserve">1,250–1,350</t>
  </si>
  <si>
    <t xml:space="preserve">Tank / top</t>
  </si>
  <si>
    <t xml:space="preserve">599–1,149</t>
  </si>
  <si>
    <t xml:space="preserve">299–699</t>
  </si>
  <si>
    <t xml:space="preserve">1,295–2,495</t>
  </si>
  <si>
    <t xml:space="preserve">149–1,299</t>
  </si>
  <si>
    <t xml:space="preserve">1,050</t>
  </si>
  <si>
    <t xml:space="preserve">950–1,600</t>
  </si>
  <si>
    <t xml:space="preserve">999–1,090</t>
  </si>
  <si>
    <t xml:space="preserve">2,095–3,095</t>
  </si>
  <si>
    <t xml:space="preserve">299–1,800</t>
  </si>
  <si>
    <t xml:space="preserve">1,150–1,490</t>
  </si>
  <si>
    <t xml:space="preserve">Pickleball / tennis dress</t>
  </si>
  <si>
    <t xml:space="preserve">899–1,399</t>
  </si>
  <si>
    <t xml:space="preserve">999–1,500</t>
  </si>
  <si>
    <t xml:space="preserve">3,495–5,795</t>
  </si>
  <si>
    <t xml:space="preserve">350–2,500</t>
  </si>
  <si>
    <t xml:space="preserve">2,150–2,990</t>
  </si>
  <si>
    <t xml:space="preserve">2-piece set</t>
  </si>
  <si>
    <t xml:space="preserve">2,376–3,960</t>
  </si>
  <si>
    <t xml:space="preserve">799–1,299</t>
  </si>
  <si>
    <t xml:space="preserve">3,000–8,000+</t>
  </si>
  <si>
    <t xml:space="preserve">399–3,500</t>
  </si>
  <si>
    <t xml:space="preserve">2,790</t>
  </si>
  <si>
    <t xml:space="preserve">—</t>
  </si>
  <si>
    <t xml:space="preserve">2,990–17,690</t>
  </si>
  <si>
    <t xml:space="preserve">400–2,500</t>
  </si>
  <si>
    <t xml:space="preserve">2,150 / set 3,950</t>
  </si>
  <si>
    <t xml:space="preserve">Still clearly below Nike/Lululemon imports and above mass-market, even after VAT markup. Positioning holds.</t>
  </si>
  <si>
    <t xml:space="preserve">Summary</t>
  </si>
  <si>
    <t xml:space="preserve">Metric</t>
  </si>
  <si>
    <t xml:space="preserve">Notes</t>
  </si>
  <si>
    <t xml:space="preserve">Styles</t>
  </si>
  <si>
    <t xml:space="preserve">launch range</t>
  </si>
  <si>
    <t xml:space="preserve">Avg gross margin % (net-of-VAT)</t>
  </si>
  <si>
    <t xml:space="preserve">preserved vs pre-VAT</t>
  </si>
  <si>
    <t xml:space="preserve">Avg net contribution %</t>
  </si>
  <si>
    <t xml:space="preserve">after pay/ship/returns</t>
  </si>
  <si>
    <t xml:space="preserve">Avg net contribution / unit</t>
  </si>
  <si>
    <t xml:space="preserve">₱, pre-marketing</t>
  </si>
  <si>
    <t xml:space="preserve">Avg output VAT / unit</t>
  </si>
  <si>
    <t xml:space="preserve">collected; reduced by input-VAT credit</t>
  </si>
  <si>
    <t xml:space="preserve">Avg customer price increase</t>
  </si>
  <si>
    <t xml:space="preserve">₱ added vs old price (the VAT)</t>
  </si>
  <si>
    <t xml:space="preserve">Product Master — NEW VAT-inclusive prices</t>
  </si>
  <si>
    <t xml:space="preserve">Product Name</t>
  </si>
  <si>
    <t xml:space="preserve">NEW price ₱ (VAT-incl)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</si>
</sst>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.00"/>
    <numFmt numFmtId="167" formatCode="\₱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B2A28"/>
      <name val="Arial"/>
      <family val="0"/>
      <charset val="1"/>
    </font>
    <font>
      <i val="true"/>
      <sz val="10"/>
      <color rgb="FF6E675F"/>
      <name val="Arial"/>
      <family val="0"/>
      <charset val="1"/>
    </font>
    <font>
      <sz val="10"/>
      <color rgb="FF2B2A28"/>
      <name val="Arial"/>
      <family val="0"/>
      <charset val="1"/>
    </font>
    <font>
      <b val="true"/>
      <sz val="11"/>
      <color rgb="FF2B2A2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1"/>
      <color rgb="FF2B2A28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E675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6E675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6E675F"/>
      <name val="Arial"/>
      <family val="0"/>
      <charset val="1"/>
    </font>
    <font>
      <sz val="10"/>
      <name val="Arial"/>
      <family val="2"/>
    </font>
    <font>
      <b val="true"/>
      <sz val="10"/>
      <color rgb="FF2B2A2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B2A28"/>
        <bgColor rgb="FF333300"/>
      </patternFill>
    </fill>
    <fill>
      <patternFill patternType="solid">
        <fgColor rgb="FF9CAE92"/>
        <bgColor rgb="FFC0C0C0"/>
      </patternFill>
    </fill>
    <fill>
      <patternFill patternType="solid">
        <fgColor rgb="FFFFF2A8"/>
        <bgColor rgb="FFE6DFD5"/>
      </patternFill>
    </fill>
    <fill>
      <patternFill patternType="solid">
        <fgColor rgb="FFFAF8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DFD5"/>
      </left>
      <right style="thin">
        <color rgb="FFE6DFD5"/>
      </right>
      <top style="thin">
        <color rgb="FFE6DFD5"/>
      </top>
      <bottom style="thin">
        <color rgb="FFE6DF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8F4"/>
      <rgbColor rgb="FFCCFFFF"/>
      <rgbColor rgb="FF660066"/>
      <rgbColor rgb="FFFF8080"/>
      <rgbColor rgb="FF0066CC"/>
      <rgbColor rgb="FFE6DF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75F"/>
      <rgbColor rgb="FF9CAE92"/>
      <rgbColor rgb="FF003366"/>
      <rgbColor rgb="FF339966"/>
      <rgbColor rgb="FF003300"/>
      <rgbColor rgb="FF333300"/>
      <rgbColor rgb="FF993300"/>
      <rgbColor rgb="FF993366"/>
      <rgbColor rgb="FF333399"/>
      <rgbColor rgb="FF2B2A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68"/>
  </cols>
  <sheetData>
    <row r="1" customFormat="false" ht="17.35" hidden="false" customHeight="false" outlineLevel="0" collapsed="false">
      <c r="A1" s="5" t="s">
        <v>21</v>
      </c>
      <c r="B1" s="5"/>
      <c r="C1" s="5"/>
      <c r="D1" s="5"/>
    </row>
    <row r="2" customFormat="false" ht="15" hidden="false" customHeight="false" outlineLevel="0" collapsed="false">
      <c r="A2" s="6" t="s">
        <v>22</v>
      </c>
      <c r="B2" s="6" t="s">
        <v>23</v>
      </c>
      <c r="C2" s="6" t="s">
        <v>24</v>
      </c>
      <c r="D2" s="6" t="s">
        <v>25</v>
      </c>
    </row>
    <row r="3" customFormat="false" ht="15" hidden="false" customHeight="false" outlineLevel="0" collapsed="false">
      <c r="A3" s="7" t="s">
        <v>26</v>
      </c>
      <c r="B3" s="8" t="s">
        <v>27</v>
      </c>
      <c r="C3" s="9" t="n">
        <v>0.12</v>
      </c>
      <c r="D3" s="10" t="s">
        <v>28</v>
      </c>
    </row>
    <row r="4" customFormat="false" ht="15" hidden="false" customHeight="false" outlineLevel="0" collapsed="false">
      <c r="A4" s="7" t="s">
        <v>29</v>
      </c>
      <c r="B4" s="8" t="s">
        <v>30</v>
      </c>
      <c r="C4" s="11" t="n">
        <v>150</v>
      </c>
      <c r="D4" s="10" t="s">
        <v>31</v>
      </c>
    </row>
    <row r="5" customFormat="false" ht="15" hidden="false" customHeight="false" outlineLevel="0" collapsed="false">
      <c r="A5" s="7" t="s">
        <v>32</v>
      </c>
      <c r="B5" s="8" t="s">
        <v>30</v>
      </c>
      <c r="C5" s="11" t="n">
        <v>25</v>
      </c>
      <c r="D5" s="10" t="s">
        <v>33</v>
      </c>
    </row>
    <row r="6" customFormat="false" ht="15" hidden="false" customHeight="false" outlineLevel="0" collapsed="false">
      <c r="A6" s="7" t="s">
        <v>34</v>
      </c>
      <c r="B6" s="8" t="s">
        <v>27</v>
      </c>
      <c r="C6" s="9" t="n">
        <v>0.025</v>
      </c>
      <c r="D6" s="10" t="s">
        <v>35</v>
      </c>
    </row>
    <row r="7" customFormat="false" ht="15" hidden="false" customHeight="false" outlineLevel="0" collapsed="false">
      <c r="A7" s="7" t="s">
        <v>36</v>
      </c>
      <c r="B7" s="8" t="s">
        <v>30</v>
      </c>
      <c r="C7" s="11" t="n">
        <v>90</v>
      </c>
      <c r="D7" s="10" t="s">
        <v>37</v>
      </c>
    </row>
    <row r="8" customFormat="false" ht="15" hidden="false" customHeight="false" outlineLevel="0" collapsed="false">
      <c r="A8" s="7" t="s">
        <v>38</v>
      </c>
      <c r="B8" s="8" t="s">
        <v>30</v>
      </c>
      <c r="C8" s="11" t="n">
        <v>120</v>
      </c>
      <c r="D8" s="10" t="s">
        <v>39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4" min="11" style="0" width="8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1"/>
  </cols>
  <sheetData>
    <row r="1" customFormat="false" ht="17.35" hidden="false" customHeight="false" outlineLevel="0" collapsed="false">
      <c r="A1" s="5" t="s">
        <v>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customFormat="false" ht="39.55" hidden="false" customHeight="false" outlineLevel="0" collapsed="false">
      <c r="A2" s="12" t="s">
        <v>41</v>
      </c>
      <c r="B2" s="12" t="s">
        <v>42</v>
      </c>
      <c r="C2" s="12" t="s">
        <v>43</v>
      </c>
      <c r="D2" s="12" t="s">
        <v>44</v>
      </c>
      <c r="E2" s="12" t="s">
        <v>45</v>
      </c>
      <c r="F2" s="12" t="s">
        <v>46</v>
      </c>
      <c r="G2" s="12" t="s">
        <v>47</v>
      </c>
      <c r="H2" s="12" t="s">
        <v>48</v>
      </c>
      <c r="I2" s="12" t="s">
        <v>49</v>
      </c>
      <c r="J2" s="12" t="s">
        <v>50</v>
      </c>
      <c r="K2" s="12" t="s">
        <v>51</v>
      </c>
      <c r="L2" s="12" t="s">
        <v>52</v>
      </c>
      <c r="M2" s="12" t="s">
        <v>53</v>
      </c>
      <c r="N2" s="12" t="s">
        <v>54</v>
      </c>
      <c r="O2" s="12" t="s">
        <v>55</v>
      </c>
      <c r="P2" s="12" t="s">
        <v>56</v>
      </c>
      <c r="Q2" s="12" t="s">
        <v>57</v>
      </c>
    </row>
    <row r="3" customFormat="false" ht="15" hidden="false" customHeight="false" outlineLevel="0" collapsed="false">
      <c r="A3" s="13" t="s">
        <v>58</v>
      </c>
      <c r="B3" s="13" t="s">
        <v>59</v>
      </c>
      <c r="C3" s="13" t="s">
        <v>60</v>
      </c>
      <c r="D3" s="14" t="n">
        <v>1012.99</v>
      </c>
      <c r="E3" s="15" t="n">
        <f aca="false">D3+Assumptions!$C$4+Assumptions!$C$5</f>
        <v>1187.99</v>
      </c>
      <c r="F3" s="16" t="n">
        <v>1950</v>
      </c>
      <c r="G3" s="14" t="n">
        <v>2190</v>
      </c>
      <c r="H3" s="15" t="n">
        <f aca="false">G3/(1+Assumptions!$C$3)</f>
        <v>1955.35714285714</v>
      </c>
      <c r="I3" s="15" t="n">
        <f aca="false">G3-H3</f>
        <v>234.642857142857</v>
      </c>
      <c r="J3" s="15" t="n">
        <f aca="false">H3-E3</f>
        <v>767.367142857143</v>
      </c>
      <c r="K3" s="17" t="n">
        <f aca="false">J3/H3</f>
        <v>0.392443470319635</v>
      </c>
      <c r="L3" s="18" t="n">
        <f aca="false">G3*Assumptions!$C$6</f>
        <v>54.75</v>
      </c>
      <c r="M3" s="18" t="n">
        <f aca="false">Assumptions!$C$7</f>
        <v>90</v>
      </c>
      <c r="N3" s="18" t="n">
        <f aca="false">Assumptions!$C$8</f>
        <v>120</v>
      </c>
      <c r="O3" s="15" t="n">
        <f aca="false">J3-L3-M3-N3</f>
        <v>502.617142857143</v>
      </c>
      <c r="P3" s="17" t="n">
        <f aca="false">O3/H3</f>
        <v>0.257046210045662</v>
      </c>
      <c r="Q3" s="15" t="n">
        <f aca="false">G3-F3</f>
        <v>240</v>
      </c>
    </row>
    <row r="4" customFormat="false" ht="15" hidden="false" customHeight="false" outlineLevel="0" collapsed="false">
      <c r="A4" s="13" t="s">
        <v>61</v>
      </c>
      <c r="B4" s="13" t="s">
        <v>62</v>
      </c>
      <c r="C4" s="13" t="s">
        <v>60</v>
      </c>
      <c r="D4" s="14" t="n">
        <v>916.57</v>
      </c>
      <c r="E4" s="15" t="n">
        <f aca="false">D4+Assumptions!$C$4+Assumptions!$C$5</f>
        <v>1091.57</v>
      </c>
      <c r="F4" s="16" t="n">
        <v>1890</v>
      </c>
      <c r="G4" s="14" t="n">
        <v>2150</v>
      </c>
      <c r="H4" s="15" t="n">
        <f aca="false">G4/(1+Assumptions!$C$3)</f>
        <v>1919.64285714286</v>
      </c>
      <c r="I4" s="15" t="n">
        <f aca="false">G4-H4</f>
        <v>230.357142857143</v>
      </c>
      <c r="J4" s="15" t="n">
        <f aca="false">H4-E4</f>
        <v>828.072857142857</v>
      </c>
      <c r="K4" s="17" t="n">
        <f aca="false">J4/H4</f>
        <v>0.431368186046511</v>
      </c>
      <c r="L4" s="18" t="n">
        <f aca="false">G4*Assumptions!$C$6</f>
        <v>53.75</v>
      </c>
      <c r="M4" s="18" t="n">
        <f aca="false">Assumptions!$C$7</f>
        <v>90</v>
      </c>
      <c r="N4" s="18" t="n">
        <f aca="false">Assumptions!$C$8</f>
        <v>120</v>
      </c>
      <c r="O4" s="15" t="n">
        <f aca="false">J4-L4-M4-N4</f>
        <v>564.322857142857</v>
      </c>
      <c r="P4" s="17" t="n">
        <f aca="false">O4/H4</f>
        <v>0.293972837209302</v>
      </c>
      <c r="Q4" s="15" t="n">
        <f aca="false">G4-F4</f>
        <v>260</v>
      </c>
    </row>
    <row r="5" customFormat="false" ht="15" hidden="false" customHeight="false" outlineLevel="0" collapsed="false">
      <c r="A5" s="13" t="s">
        <v>63</v>
      </c>
      <c r="B5" s="13" t="s">
        <v>64</v>
      </c>
      <c r="C5" s="13" t="s">
        <v>60</v>
      </c>
      <c r="D5" s="14" t="n">
        <v>1009.09</v>
      </c>
      <c r="E5" s="15" t="n">
        <f aca="false">D5+Assumptions!$C$4+Assumptions!$C$5</f>
        <v>1184.09</v>
      </c>
      <c r="F5" s="16" t="n">
        <v>2190</v>
      </c>
      <c r="G5" s="14" t="n">
        <v>2490</v>
      </c>
      <c r="H5" s="15" t="n">
        <f aca="false">G5/(1+Assumptions!$C$3)</f>
        <v>2223.21428571429</v>
      </c>
      <c r="I5" s="15" t="n">
        <f aca="false">G5-H5</f>
        <v>266.785714285715</v>
      </c>
      <c r="J5" s="15" t="n">
        <f aca="false">H5-E5</f>
        <v>1039.12428571429</v>
      </c>
      <c r="K5" s="17" t="n">
        <f aca="false">J5/H5</f>
        <v>0.467397269076305</v>
      </c>
      <c r="L5" s="18" t="n">
        <f aca="false">G5*Assumptions!$C$6</f>
        <v>62.25</v>
      </c>
      <c r="M5" s="18" t="n">
        <f aca="false">Assumptions!$C$7</f>
        <v>90</v>
      </c>
      <c r="N5" s="18" t="n">
        <f aca="false">Assumptions!$C$8</f>
        <v>120</v>
      </c>
      <c r="O5" s="15" t="n">
        <f aca="false">J5-L5-M5-N5</f>
        <v>766.874285714285</v>
      </c>
      <c r="P5" s="17" t="n">
        <f aca="false">O5/H5</f>
        <v>0.344939437751004</v>
      </c>
      <c r="Q5" s="15" t="n">
        <f aca="false">G5-F5</f>
        <v>300</v>
      </c>
    </row>
    <row r="6" customFormat="false" ht="15" hidden="false" customHeight="false" outlineLevel="0" collapsed="false">
      <c r="A6" s="13" t="s">
        <v>65</v>
      </c>
      <c r="B6" s="13" t="s">
        <v>66</v>
      </c>
      <c r="C6" s="13" t="s">
        <v>60</v>
      </c>
      <c r="D6" s="14" t="n">
        <v>1085</v>
      </c>
      <c r="E6" s="15" t="n">
        <f aca="false">D6+Assumptions!$C$4+Assumptions!$C$5</f>
        <v>1260</v>
      </c>
      <c r="F6" s="16" t="n">
        <v>2450</v>
      </c>
      <c r="G6" s="14" t="n">
        <v>2750</v>
      </c>
      <c r="H6" s="15" t="n">
        <f aca="false">G6/(1+Assumptions!$C$3)</f>
        <v>2455.35714285714</v>
      </c>
      <c r="I6" s="15" t="n">
        <f aca="false">G6-H6</f>
        <v>294.642857142857</v>
      </c>
      <c r="J6" s="15" t="n">
        <f aca="false">H6-E6</f>
        <v>1195.35714285714</v>
      </c>
      <c r="K6" s="17" t="n">
        <f aca="false">J6/H6</f>
        <v>0.486836363636364</v>
      </c>
      <c r="L6" s="18" t="n">
        <f aca="false">G6*Assumptions!$C$6</f>
        <v>68.75</v>
      </c>
      <c r="M6" s="18" t="n">
        <f aca="false">Assumptions!$C$7</f>
        <v>90</v>
      </c>
      <c r="N6" s="18" t="n">
        <f aca="false">Assumptions!$C$8</f>
        <v>120</v>
      </c>
      <c r="O6" s="15" t="n">
        <f aca="false">J6-L6-M6-N6</f>
        <v>916.607142857143</v>
      </c>
      <c r="P6" s="17" t="n">
        <f aca="false">O6/H6</f>
        <v>0.373309090909091</v>
      </c>
      <c r="Q6" s="15" t="n">
        <f aca="false">G6-F6</f>
        <v>300</v>
      </c>
    </row>
    <row r="7" customFormat="false" ht="15" hidden="false" customHeight="false" outlineLevel="0" collapsed="false">
      <c r="A7" s="13" t="s">
        <v>67</v>
      </c>
      <c r="B7" s="13" t="s">
        <v>68</v>
      </c>
      <c r="C7" s="13" t="s">
        <v>60</v>
      </c>
      <c r="D7" s="14" t="n">
        <v>1083.17</v>
      </c>
      <c r="E7" s="15" t="n">
        <f aca="false">D7+Assumptions!$C$4+Assumptions!$C$5</f>
        <v>1258.17</v>
      </c>
      <c r="F7" s="16" t="n">
        <v>2450</v>
      </c>
      <c r="G7" s="14" t="n">
        <v>2750</v>
      </c>
      <c r="H7" s="15" t="n">
        <f aca="false">G7/(1+Assumptions!$C$3)</f>
        <v>2455.35714285714</v>
      </c>
      <c r="I7" s="15" t="n">
        <f aca="false">G7-H7</f>
        <v>294.642857142857</v>
      </c>
      <c r="J7" s="15" t="n">
        <f aca="false">H7-E7</f>
        <v>1197.18714285714</v>
      </c>
      <c r="K7" s="17" t="n">
        <f aca="false">J7/H7</f>
        <v>0.487581672727273</v>
      </c>
      <c r="L7" s="18" t="n">
        <f aca="false">G7*Assumptions!$C$6</f>
        <v>68.75</v>
      </c>
      <c r="M7" s="18" t="n">
        <f aca="false">Assumptions!$C$7</f>
        <v>90</v>
      </c>
      <c r="N7" s="18" t="n">
        <f aca="false">Assumptions!$C$8</f>
        <v>120</v>
      </c>
      <c r="O7" s="15" t="n">
        <f aca="false">J7-L7-M7-N7</f>
        <v>918.437142857143</v>
      </c>
      <c r="P7" s="17" t="n">
        <f aca="false">O7/H7</f>
        <v>0.3740544</v>
      </c>
      <c r="Q7" s="15" t="n">
        <f aca="false">G7-F7</f>
        <v>300</v>
      </c>
    </row>
    <row r="8" customFormat="false" ht="15" hidden="false" customHeight="false" outlineLevel="0" collapsed="false">
      <c r="A8" s="13" t="s">
        <v>69</v>
      </c>
      <c r="B8" s="13" t="s">
        <v>70</v>
      </c>
      <c r="C8" s="13" t="s">
        <v>60</v>
      </c>
      <c r="D8" s="14" t="n">
        <v>1069.03</v>
      </c>
      <c r="E8" s="15" t="n">
        <f aca="false">D8+Assumptions!$C$4+Assumptions!$C$5</f>
        <v>1244.03</v>
      </c>
      <c r="F8" s="16" t="n">
        <v>2450</v>
      </c>
      <c r="G8" s="14" t="n">
        <v>2750</v>
      </c>
      <c r="H8" s="15" t="n">
        <f aca="false">G8/(1+Assumptions!$C$3)</f>
        <v>2455.35714285714</v>
      </c>
      <c r="I8" s="15" t="n">
        <f aca="false">G8-H8</f>
        <v>294.642857142857</v>
      </c>
      <c r="J8" s="15" t="n">
        <f aca="false">H8-E8</f>
        <v>1211.32714285714</v>
      </c>
      <c r="K8" s="17" t="n">
        <f aca="false">J8/H8</f>
        <v>0.493340509090909</v>
      </c>
      <c r="L8" s="18" t="n">
        <f aca="false">G8*Assumptions!$C$6</f>
        <v>68.75</v>
      </c>
      <c r="M8" s="18" t="n">
        <f aca="false">Assumptions!$C$7</f>
        <v>90</v>
      </c>
      <c r="N8" s="18" t="n">
        <f aca="false">Assumptions!$C$8</f>
        <v>120</v>
      </c>
      <c r="O8" s="15" t="n">
        <f aca="false">J8-L8-M8-N8</f>
        <v>932.577142857143</v>
      </c>
      <c r="P8" s="17" t="n">
        <f aca="false">O8/H8</f>
        <v>0.379813236363636</v>
      </c>
      <c r="Q8" s="15" t="n">
        <f aca="false">G8-F8</f>
        <v>300</v>
      </c>
    </row>
    <row r="9" customFormat="false" ht="15" hidden="false" customHeight="false" outlineLevel="0" collapsed="false">
      <c r="A9" s="13" t="s">
        <v>71</v>
      </c>
      <c r="B9" s="13" t="s">
        <v>72</v>
      </c>
      <c r="C9" s="13" t="s">
        <v>60</v>
      </c>
      <c r="D9" s="14" t="n">
        <v>1346.9</v>
      </c>
      <c r="E9" s="15" t="n">
        <f aca="false">D9+Assumptions!$C$4+Assumptions!$C$5</f>
        <v>1521.9</v>
      </c>
      <c r="F9" s="16" t="n">
        <v>2650</v>
      </c>
      <c r="G9" s="14" t="n">
        <v>2990</v>
      </c>
      <c r="H9" s="15" t="n">
        <f aca="false">G9/(1+Assumptions!$C$3)</f>
        <v>2669.64285714286</v>
      </c>
      <c r="I9" s="15" t="n">
        <f aca="false">G9-H9</f>
        <v>320.357142857143</v>
      </c>
      <c r="J9" s="15" t="n">
        <f aca="false">H9-E9</f>
        <v>1147.74285714286</v>
      </c>
      <c r="K9" s="17" t="n">
        <f aca="false">J9/H9</f>
        <v>0.429923745819398</v>
      </c>
      <c r="L9" s="18" t="n">
        <f aca="false">G9*Assumptions!$C$6</f>
        <v>74.75</v>
      </c>
      <c r="M9" s="18" t="n">
        <f aca="false">Assumptions!$C$7</f>
        <v>90</v>
      </c>
      <c r="N9" s="18" t="n">
        <f aca="false">Assumptions!$C$8</f>
        <v>120</v>
      </c>
      <c r="O9" s="15" t="n">
        <f aca="false">J9-L9-M9-N9</f>
        <v>862.992857142857</v>
      </c>
      <c r="P9" s="17" t="n">
        <f aca="false">O9/H9</f>
        <v>0.323261538461538</v>
      </c>
      <c r="Q9" s="15" t="n">
        <f aca="false">G9-F9</f>
        <v>340</v>
      </c>
    </row>
    <row r="10" customFormat="false" ht="15" hidden="false" customHeight="false" outlineLevel="0" collapsed="false">
      <c r="A10" s="13" t="s">
        <v>73</v>
      </c>
      <c r="B10" s="13" t="s">
        <v>74</v>
      </c>
      <c r="C10" s="13" t="s">
        <v>60</v>
      </c>
      <c r="D10" s="14" t="n">
        <v>1317.39</v>
      </c>
      <c r="E10" s="15" t="n">
        <f aca="false">D10+Assumptions!$C$4+Assumptions!$C$5</f>
        <v>1492.39</v>
      </c>
      <c r="F10" s="16" t="n">
        <v>2650</v>
      </c>
      <c r="G10" s="14" t="n">
        <v>2990</v>
      </c>
      <c r="H10" s="15" t="n">
        <f aca="false">G10/(1+Assumptions!$C$3)</f>
        <v>2669.64285714286</v>
      </c>
      <c r="I10" s="15" t="n">
        <f aca="false">G10-H10</f>
        <v>320.357142857143</v>
      </c>
      <c r="J10" s="15" t="n">
        <f aca="false">H10-E10</f>
        <v>1177.25285714286</v>
      </c>
      <c r="K10" s="17" t="n">
        <f aca="false">J10/H10</f>
        <v>0.440977658862876</v>
      </c>
      <c r="L10" s="18" t="n">
        <f aca="false">G10*Assumptions!$C$6</f>
        <v>74.75</v>
      </c>
      <c r="M10" s="18" t="n">
        <f aca="false">Assumptions!$C$7</f>
        <v>90</v>
      </c>
      <c r="N10" s="18" t="n">
        <f aca="false">Assumptions!$C$8</f>
        <v>120</v>
      </c>
      <c r="O10" s="15" t="n">
        <f aca="false">J10-L10-M10-N10</f>
        <v>892.502857142857</v>
      </c>
      <c r="P10" s="17" t="n">
        <f aca="false">O10/H10</f>
        <v>0.334315451505017</v>
      </c>
      <c r="Q10" s="15" t="n">
        <f aca="false">G10-F10</f>
        <v>340</v>
      </c>
    </row>
    <row r="11" customFormat="false" ht="15" hidden="false" customHeight="false" outlineLevel="0" collapsed="false">
      <c r="A11" s="13" t="s">
        <v>75</v>
      </c>
      <c r="B11" s="13" t="s">
        <v>76</v>
      </c>
      <c r="C11" s="13" t="s">
        <v>77</v>
      </c>
      <c r="D11" s="14" t="n">
        <v>415.56</v>
      </c>
      <c r="E11" s="15" t="n">
        <f aca="false">D11+Assumptions!$C$4+Assumptions!$C$5</f>
        <v>590.56</v>
      </c>
      <c r="F11" s="16" t="n">
        <v>990</v>
      </c>
      <c r="G11" s="14" t="n">
        <v>1150</v>
      </c>
      <c r="H11" s="15" t="n">
        <f aca="false">G11/(1+Assumptions!$C$3)</f>
        <v>1026.78571428571</v>
      </c>
      <c r="I11" s="15" t="n">
        <f aca="false">G11-H11</f>
        <v>123.214285714286</v>
      </c>
      <c r="J11" s="15" t="n">
        <f aca="false">H11-E11</f>
        <v>436.225714285714</v>
      </c>
      <c r="K11" s="17" t="n">
        <f aca="false">J11/H11</f>
        <v>0.424845913043478</v>
      </c>
      <c r="L11" s="18" t="n">
        <f aca="false">G11*Assumptions!$C$6</f>
        <v>28.75</v>
      </c>
      <c r="M11" s="18" t="n">
        <f aca="false">Assumptions!$C$7</f>
        <v>90</v>
      </c>
      <c r="N11" s="18" t="n">
        <f aca="false">Assumptions!$C$8</f>
        <v>120</v>
      </c>
      <c r="O11" s="15" t="n">
        <f aca="false">J11-L11-M11-N11</f>
        <v>197.475714285714</v>
      </c>
      <c r="P11" s="17" t="n">
        <f aca="false">O11/H11</f>
        <v>0.192324173913044</v>
      </c>
      <c r="Q11" s="15" t="n">
        <f aca="false">G11-F11</f>
        <v>160</v>
      </c>
    </row>
    <row r="12" customFormat="false" ht="15" hidden="false" customHeight="false" outlineLevel="0" collapsed="false">
      <c r="A12" s="13" t="s">
        <v>78</v>
      </c>
      <c r="B12" s="13" t="s">
        <v>79</v>
      </c>
      <c r="C12" s="13" t="s">
        <v>77</v>
      </c>
      <c r="D12" s="14" t="n">
        <v>485.94</v>
      </c>
      <c r="E12" s="15" t="n">
        <f aca="false">D12+Assumptions!$C$4+Assumptions!$C$5</f>
        <v>660.94</v>
      </c>
      <c r="F12" s="16" t="n">
        <v>1090</v>
      </c>
      <c r="G12" s="14" t="n">
        <v>1250</v>
      </c>
      <c r="H12" s="15" t="n">
        <f aca="false">G12/(1+Assumptions!$C$3)</f>
        <v>1116.07142857143</v>
      </c>
      <c r="I12" s="15" t="n">
        <f aca="false">G12-H12</f>
        <v>133.928571428572</v>
      </c>
      <c r="J12" s="15" t="n">
        <f aca="false">H12-E12</f>
        <v>455.131428571428</v>
      </c>
      <c r="K12" s="17" t="n">
        <f aca="false">J12/H12</f>
        <v>0.40779776</v>
      </c>
      <c r="L12" s="18" t="n">
        <f aca="false">G12*Assumptions!$C$6</f>
        <v>31.25</v>
      </c>
      <c r="M12" s="18" t="n">
        <f aca="false">Assumptions!$C$7</f>
        <v>90</v>
      </c>
      <c r="N12" s="18" t="n">
        <f aca="false">Assumptions!$C$8</f>
        <v>120</v>
      </c>
      <c r="O12" s="15" t="n">
        <f aca="false">J12-L12-M12-N12</f>
        <v>213.881428571428</v>
      </c>
      <c r="P12" s="17" t="n">
        <f aca="false">O12/H12</f>
        <v>0.19163776</v>
      </c>
      <c r="Q12" s="15" t="n">
        <f aca="false">G12-F12</f>
        <v>160</v>
      </c>
    </row>
    <row r="13" customFormat="false" ht="15" hidden="false" customHeight="false" outlineLevel="0" collapsed="false">
      <c r="A13" s="13" t="s">
        <v>80</v>
      </c>
      <c r="B13" s="13" t="s">
        <v>81</v>
      </c>
      <c r="C13" s="13" t="s">
        <v>77</v>
      </c>
      <c r="D13" s="14" t="n">
        <v>500.06</v>
      </c>
      <c r="E13" s="15" t="n">
        <f aca="false">D13+Assumptions!$C$4+Assumptions!$C$5</f>
        <v>675.06</v>
      </c>
      <c r="F13" s="16" t="n">
        <v>1090</v>
      </c>
      <c r="G13" s="14" t="n">
        <v>1250</v>
      </c>
      <c r="H13" s="15" t="n">
        <f aca="false">G13/(1+Assumptions!$C$3)</f>
        <v>1116.07142857143</v>
      </c>
      <c r="I13" s="15" t="n">
        <f aca="false">G13-H13</f>
        <v>133.928571428572</v>
      </c>
      <c r="J13" s="15" t="n">
        <f aca="false">H13-E13</f>
        <v>441.011428571429</v>
      </c>
      <c r="K13" s="17" t="n">
        <f aca="false">J13/H13</f>
        <v>0.39514624</v>
      </c>
      <c r="L13" s="18" t="n">
        <f aca="false">G13*Assumptions!$C$6</f>
        <v>31.25</v>
      </c>
      <c r="M13" s="18" t="n">
        <f aca="false">Assumptions!$C$7</f>
        <v>90</v>
      </c>
      <c r="N13" s="18" t="n">
        <f aca="false">Assumptions!$C$8</f>
        <v>120</v>
      </c>
      <c r="O13" s="15" t="n">
        <f aca="false">J13-L13-M13-N13</f>
        <v>199.761428571429</v>
      </c>
      <c r="P13" s="17" t="n">
        <f aca="false">O13/H13</f>
        <v>0.17898624</v>
      </c>
      <c r="Q13" s="15" t="n">
        <f aca="false">G13-F13</f>
        <v>160</v>
      </c>
    </row>
    <row r="14" customFormat="false" ht="15" hidden="false" customHeight="false" outlineLevel="0" collapsed="false">
      <c r="A14" s="13" t="s">
        <v>82</v>
      </c>
      <c r="B14" s="13" t="s">
        <v>83</v>
      </c>
      <c r="C14" s="13" t="s">
        <v>77</v>
      </c>
      <c r="D14" s="14" t="n">
        <v>614.74</v>
      </c>
      <c r="E14" s="15" t="n">
        <f aca="false">D14+Assumptions!$C$4+Assumptions!$C$5</f>
        <v>789.74</v>
      </c>
      <c r="F14" s="16" t="n">
        <v>1250</v>
      </c>
      <c r="G14" s="14" t="n">
        <v>1450</v>
      </c>
      <c r="H14" s="15" t="n">
        <f aca="false">G14/(1+Assumptions!$C$3)</f>
        <v>1294.64285714286</v>
      </c>
      <c r="I14" s="15" t="n">
        <f aca="false">G14-H14</f>
        <v>155.357142857143</v>
      </c>
      <c r="J14" s="15" t="n">
        <f aca="false">H14-E14</f>
        <v>504.902857142857</v>
      </c>
      <c r="K14" s="17" t="n">
        <f aca="false">J14/H14</f>
        <v>0.389993931034483</v>
      </c>
      <c r="L14" s="18" t="n">
        <f aca="false">G14*Assumptions!$C$6</f>
        <v>36.25</v>
      </c>
      <c r="M14" s="18" t="n">
        <f aca="false">Assumptions!$C$7</f>
        <v>90</v>
      </c>
      <c r="N14" s="18" t="n">
        <f aca="false">Assumptions!$C$8</f>
        <v>120</v>
      </c>
      <c r="O14" s="15" t="n">
        <f aca="false">J14-L14-M14-N14</f>
        <v>258.652857142857</v>
      </c>
      <c r="P14" s="17" t="n">
        <f aca="false">O14/H14</f>
        <v>0.199787034482759</v>
      </c>
      <c r="Q14" s="15" t="n">
        <f aca="false">G14-F14</f>
        <v>200</v>
      </c>
    </row>
    <row r="15" customFormat="false" ht="15" hidden="false" customHeight="false" outlineLevel="0" collapsed="false">
      <c r="A15" s="13" t="s">
        <v>84</v>
      </c>
      <c r="B15" s="13" t="s">
        <v>85</v>
      </c>
      <c r="C15" s="13" t="s">
        <v>77</v>
      </c>
      <c r="D15" s="14" t="n">
        <v>644.25</v>
      </c>
      <c r="E15" s="15" t="n">
        <f aca="false">D15+Assumptions!$C$4+Assumptions!$C$5</f>
        <v>819.25</v>
      </c>
      <c r="F15" s="16" t="n">
        <v>1290</v>
      </c>
      <c r="G15" s="14" t="n">
        <v>1490</v>
      </c>
      <c r="H15" s="15" t="n">
        <f aca="false">G15/(1+Assumptions!$C$3)</f>
        <v>1330.35714285714</v>
      </c>
      <c r="I15" s="15" t="n">
        <f aca="false">G15-H15</f>
        <v>159.642857142857</v>
      </c>
      <c r="J15" s="15" t="n">
        <f aca="false">H15-E15</f>
        <v>511.107142857143</v>
      </c>
      <c r="K15" s="17" t="n">
        <f aca="false">J15/H15</f>
        <v>0.384187919463087</v>
      </c>
      <c r="L15" s="18" t="n">
        <f aca="false">G15*Assumptions!$C$6</f>
        <v>37.25</v>
      </c>
      <c r="M15" s="18" t="n">
        <f aca="false">Assumptions!$C$7</f>
        <v>90</v>
      </c>
      <c r="N15" s="18" t="n">
        <f aca="false">Assumptions!$C$8</f>
        <v>120</v>
      </c>
      <c r="O15" s="15" t="n">
        <f aca="false">J15-L15-M15-N15</f>
        <v>263.857142857143</v>
      </c>
      <c r="P15" s="17" t="n">
        <f aca="false">O15/H15</f>
        <v>0.198335570469799</v>
      </c>
      <c r="Q15" s="15" t="n">
        <f aca="false">G15-F15</f>
        <v>200</v>
      </c>
    </row>
    <row r="16" customFormat="false" ht="15" hidden="false" customHeight="false" outlineLevel="0" collapsed="false">
      <c r="A16" s="13" t="s">
        <v>86</v>
      </c>
      <c r="B16" s="13" t="s">
        <v>87</v>
      </c>
      <c r="C16" s="13" t="s">
        <v>88</v>
      </c>
      <c r="D16" s="14" t="n">
        <v>349.54</v>
      </c>
      <c r="E16" s="15" t="n">
        <f aca="false">D16+Assumptions!$C$4+Assumptions!$C$5</f>
        <v>524.54</v>
      </c>
      <c r="F16" s="16" t="n">
        <v>1090</v>
      </c>
      <c r="G16" s="14" t="n">
        <v>1250</v>
      </c>
      <c r="H16" s="15" t="n">
        <f aca="false">G16/(1+Assumptions!$C$3)</f>
        <v>1116.07142857143</v>
      </c>
      <c r="I16" s="15" t="n">
        <f aca="false">G16-H16</f>
        <v>133.928571428572</v>
      </c>
      <c r="J16" s="15" t="n">
        <f aca="false">H16-E16</f>
        <v>591.531428571429</v>
      </c>
      <c r="K16" s="17" t="n">
        <f aca="false">J16/H16</f>
        <v>0.53001216</v>
      </c>
      <c r="L16" s="18" t="n">
        <f aca="false">G16*Assumptions!$C$6</f>
        <v>31.25</v>
      </c>
      <c r="M16" s="18" t="n">
        <f aca="false">Assumptions!$C$7</f>
        <v>90</v>
      </c>
      <c r="N16" s="18" t="n">
        <f aca="false">Assumptions!$C$8</f>
        <v>120</v>
      </c>
      <c r="O16" s="15" t="n">
        <f aca="false">J16-L16-M16-N16</f>
        <v>350.281428571429</v>
      </c>
      <c r="P16" s="17" t="n">
        <f aca="false">O16/H16</f>
        <v>0.31385216</v>
      </c>
      <c r="Q16" s="15" t="n">
        <f aca="false">G16-F16</f>
        <v>160</v>
      </c>
    </row>
    <row r="17" customFormat="false" ht="15" hidden="false" customHeight="false" outlineLevel="0" collapsed="false">
      <c r="A17" s="13" t="s">
        <v>89</v>
      </c>
      <c r="B17" s="13" t="s">
        <v>90</v>
      </c>
      <c r="C17" s="13" t="s">
        <v>88</v>
      </c>
      <c r="D17" s="14" t="n">
        <v>417.73</v>
      </c>
      <c r="E17" s="15" t="n">
        <f aca="false">D17+Assumptions!$C$4+Assumptions!$C$5</f>
        <v>592.73</v>
      </c>
      <c r="F17" s="16" t="n">
        <v>1190</v>
      </c>
      <c r="G17" s="14" t="n">
        <v>1350</v>
      </c>
      <c r="H17" s="15" t="n">
        <f aca="false">G17/(1+Assumptions!$C$3)</f>
        <v>1205.35714285714</v>
      </c>
      <c r="I17" s="15" t="n">
        <f aca="false">G17-H17</f>
        <v>144.642857142857</v>
      </c>
      <c r="J17" s="15" t="n">
        <f aca="false">H17-E17</f>
        <v>612.627142857143</v>
      </c>
      <c r="K17" s="17" t="n">
        <f aca="false">J17/H17</f>
        <v>0.50825362962963</v>
      </c>
      <c r="L17" s="18" t="n">
        <f aca="false">G17*Assumptions!$C$6</f>
        <v>33.75</v>
      </c>
      <c r="M17" s="18" t="n">
        <f aca="false">Assumptions!$C$7</f>
        <v>90</v>
      </c>
      <c r="N17" s="18" t="n">
        <f aca="false">Assumptions!$C$8</f>
        <v>120</v>
      </c>
      <c r="O17" s="15" t="n">
        <f aca="false">J17-L17-M17-N17</f>
        <v>368.877142857143</v>
      </c>
      <c r="P17" s="17" t="n">
        <f aca="false">O17/H17</f>
        <v>0.306031407407407</v>
      </c>
      <c r="Q17" s="15" t="n">
        <f aca="false">G17-F17</f>
        <v>160</v>
      </c>
    </row>
    <row r="18" customFormat="false" ht="15" hidden="false" customHeight="false" outlineLevel="0" collapsed="false">
      <c r="A18" s="13" t="s">
        <v>91</v>
      </c>
      <c r="B18" s="13" t="s">
        <v>92</v>
      </c>
      <c r="C18" s="13" t="s">
        <v>93</v>
      </c>
      <c r="D18" s="14" t="n">
        <v>393.17</v>
      </c>
      <c r="E18" s="15" t="n">
        <f aca="false">D18+Assumptions!$C$4+Assumptions!$C$5</f>
        <v>568.17</v>
      </c>
      <c r="F18" s="16" t="n">
        <v>895</v>
      </c>
      <c r="G18" s="14" t="n">
        <v>1050</v>
      </c>
      <c r="H18" s="15" t="n">
        <f aca="false">G18/(1+Assumptions!$C$3)</f>
        <v>937.5</v>
      </c>
      <c r="I18" s="15" t="n">
        <f aca="false">G18-H18</f>
        <v>112.5</v>
      </c>
      <c r="J18" s="15" t="n">
        <f aca="false">H18-E18</f>
        <v>369.33</v>
      </c>
      <c r="K18" s="17" t="n">
        <f aca="false">J18/H18</f>
        <v>0.393952</v>
      </c>
      <c r="L18" s="18" t="n">
        <f aca="false">G18*Assumptions!$C$6</f>
        <v>26.25</v>
      </c>
      <c r="M18" s="18" t="n">
        <f aca="false">Assumptions!$C$7</f>
        <v>90</v>
      </c>
      <c r="N18" s="18" t="n">
        <f aca="false">Assumptions!$C$8</f>
        <v>120</v>
      </c>
      <c r="O18" s="15" t="n">
        <f aca="false">J18-L18-M18-N18</f>
        <v>133.08</v>
      </c>
      <c r="P18" s="17" t="n">
        <f aca="false">O18/H18</f>
        <v>0.141952</v>
      </c>
      <c r="Q18" s="15" t="n">
        <f aca="false">G18-F18</f>
        <v>155</v>
      </c>
    </row>
    <row r="19" customFormat="false" ht="15" hidden="false" customHeight="false" outlineLevel="0" collapsed="false">
      <c r="A19" s="13" t="s">
        <v>94</v>
      </c>
      <c r="B19" s="13" t="s">
        <v>95</v>
      </c>
      <c r="C19" s="13" t="s">
        <v>96</v>
      </c>
      <c r="D19" s="14" t="n">
        <v>422.94</v>
      </c>
      <c r="E19" s="15" t="n">
        <f aca="false">D19+Assumptions!$C$4+Assumptions!$C$5</f>
        <v>597.94</v>
      </c>
      <c r="F19" s="16" t="n">
        <v>950</v>
      </c>
      <c r="G19" s="14" t="n">
        <v>1090</v>
      </c>
      <c r="H19" s="15" t="n">
        <f aca="false">G19/(1+Assumptions!$C$3)</f>
        <v>973.214285714286</v>
      </c>
      <c r="I19" s="15" t="n">
        <f aca="false">G19-H19</f>
        <v>116.785714285714</v>
      </c>
      <c r="J19" s="15" t="n">
        <f aca="false">H19-E19</f>
        <v>375.274285714286</v>
      </c>
      <c r="K19" s="17" t="n">
        <f aca="false">J19/H19</f>
        <v>0.385602935779816</v>
      </c>
      <c r="L19" s="18" t="n">
        <f aca="false">G19*Assumptions!$C$6</f>
        <v>27.25</v>
      </c>
      <c r="M19" s="18" t="n">
        <f aca="false">Assumptions!$C$7</f>
        <v>90</v>
      </c>
      <c r="N19" s="18" t="n">
        <f aca="false">Assumptions!$C$8</f>
        <v>120</v>
      </c>
      <c r="O19" s="15" t="n">
        <f aca="false">J19-L19-M19-N19</f>
        <v>138.024285714286</v>
      </c>
      <c r="P19" s="17" t="n">
        <f aca="false">O19/H19</f>
        <v>0.141823119266055</v>
      </c>
      <c r="Q19" s="15" t="n">
        <f aca="false">G19-F19</f>
        <v>140</v>
      </c>
    </row>
    <row r="20" customFormat="false" ht="15" hidden="false" customHeight="false" outlineLevel="0" collapsed="false">
      <c r="A20" s="13" t="s">
        <v>97</v>
      </c>
      <c r="B20" s="13" t="s">
        <v>98</v>
      </c>
      <c r="C20" s="13" t="s">
        <v>99</v>
      </c>
      <c r="D20" s="14" t="n">
        <v>1255.91</v>
      </c>
      <c r="E20" s="15" t="n">
        <f aca="false">D20+Assumptions!$C$4+Assumptions!$C$5</f>
        <v>1430.91</v>
      </c>
      <c r="F20" s="16" t="n">
        <v>2490</v>
      </c>
      <c r="G20" s="14" t="n">
        <v>2790</v>
      </c>
      <c r="H20" s="15" t="n">
        <f aca="false">G20/(1+Assumptions!$C$3)</f>
        <v>2491.07142857143</v>
      </c>
      <c r="I20" s="15" t="n">
        <f aca="false">G20-H20</f>
        <v>298.928571428572</v>
      </c>
      <c r="J20" s="15" t="n">
        <f aca="false">H20-E20</f>
        <v>1060.16142857143</v>
      </c>
      <c r="K20" s="17" t="n">
        <f aca="false">J20/H20</f>
        <v>0.425584516129032</v>
      </c>
      <c r="L20" s="18" t="n">
        <f aca="false">G20*Assumptions!$C$6</f>
        <v>69.75</v>
      </c>
      <c r="M20" s="18" t="n">
        <f aca="false">Assumptions!$C$7</f>
        <v>90</v>
      </c>
      <c r="N20" s="18" t="n">
        <f aca="false">Assumptions!$C$8</f>
        <v>120</v>
      </c>
      <c r="O20" s="15" t="n">
        <f aca="false">J20-L20-M20-N20</f>
        <v>780.411428571428</v>
      </c>
      <c r="P20" s="17" t="n">
        <f aca="false">O20/H20</f>
        <v>0.313283440860215</v>
      </c>
      <c r="Q20" s="15" t="n">
        <f aca="false">G20-F20</f>
        <v>300</v>
      </c>
    </row>
    <row r="21" customFormat="false" ht="15" hidden="false" customHeight="false" outlineLevel="0" collapsed="false">
      <c r="A21" s="13" t="s">
        <v>100</v>
      </c>
      <c r="B21" s="13" t="s">
        <v>101</v>
      </c>
      <c r="C21" s="13" t="s">
        <v>102</v>
      </c>
      <c r="D21" s="14" t="n">
        <v>835.16</v>
      </c>
      <c r="E21" s="15" t="n">
        <f aca="false">D21+Assumptions!$C$4+Assumptions!$C$5</f>
        <v>1010.16</v>
      </c>
      <c r="F21" s="16" t="n">
        <v>1890</v>
      </c>
      <c r="G21" s="14" t="n">
        <v>2150</v>
      </c>
      <c r="H21" s="15" t="n">
        <f aca="false">G21/(1+Assumptions!$C$3)</f>
        <v>1919.64285714286</v>
      </c>
      <c r="I21" s="15" t="n">
        <f aca="false">G21-H21</f>
        <v>230.357142857143</v>
      </c>
      <c r="J21" s="15" t="n">
        <f aca="false">H21-E21</f>
        <v>909.482857142857</v>
      </c>
      <c r="K21" s="17" t="n">
        <f aca="false">J21/H21</f>
        <v>0.47377711627907</v>
      </c>
      <c r="L21" s="18" t="n">
        <f aca="false">G21*Assumptions!$C$6</f>
        <v>53.75</v>
      </c>
      <c r="M21" s="18" t="n">
        <f aca="false">Assumptions!$C$7</f>
        <v>90</v>
      </c>
      <c r="N21" s="18" t="n">
        <f aca="false">Assumptions!$C$8</f>
        <v>120</v>
      </c>
      <c r="O21" s="15" t="n">
        <f aca="false">J21-L21-M21-N21</f>
        <v>645.732857142857</v>
      </c>
      <c r="P21" s="17" t="n">
        <f aca="false">O21/H21</f>
        <v>0.33638176744186</v>
      </c>
      <c r="Q21" s="15" t="n">
        <f aca="false">G21-F21</f>
        <v>260</v>
      </c>
    </row>
    <row r="22" customFormat="false" ht="15" hidden="false" customHeight="false" outlineLevel="0" collapsed="false">
      <c r="C22" s="4" t="s">
        <v>103</v>
      </c>
      <c r="H22" s="19" t="n">
        <f aca="false">AVERAGE(H3:H21)</f>
        <v>1754.22932330827</v>
      </c>
      <c r="I22" s="19" t="n">
        <f aca="false">AVERAGE(I3:I21)</f>
        <v>210.507518796993</v>
      </c>
      <c r="J22" s="19" t="n">
        <f aca="false">AVERAGE(J3:J21)</f>
        <v>780.537744360902</v>
      </c>
      <c r="K22" s="20" t="n">
        <f aca="false">AVERAGE(K3:K21)</f>
        <v>0.43942226299673</v>
      </c>
      <c r="O22" s="19" t="n">
        <f aca="false">AVERAGE(O3:O21)</f>
        <v>521.419323308271</v>
      </c>
      <c r="P22" s="20" t="n">
        <f aca="false">AVERAGE(P3:P21)</f>
        <v>0.273426677688757</v>
      </c>
      <c r="Q22" s="19" t="n">
        <f aca="false">AVERAGE(Q3:Q21)</f>
        <v>233.421052631579</v>
      </c>
    </row>
    <row r="24" customFormat="false" ht="15" hidden="false" customHeight="false" outlineLevel="0" collapsed="false">
      <c r="B24" s="21" t="s">
        <v>104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5" t="s">
        <v>105</v>
      </c>
      <c r="B1" s="5"/>
      <c r="C1" s="5"/>
      <c r="D1" s="5"/>
      <c r="E1" s="5"/>
      <c r="F1" s="5"/>
    </row>
    <row r="2" customFormat="false" ht="26.85" hidden="false" customHeight="false" outlineLevel="0" collapsed="false">
      <c r="A2" s="22" t="s">
        <v>43</v>
      </c>
      <c r="B2" s="22" t="s">
        <v>106</v>
      </c>
      <c r="C2" s="22" t="s">
        <v>107</v>
      </c>
      <c r="D2" s="22" t="s">
        <v>108</v>
      </c>
      <c r="E2" s="22" t="s">
        <v>109</v>
      </c>
      <c r="F2" s="22" t="s">
        <v>110</v>
      </c>
    </row>
    <row r="3" customFormat="false" ht="15" hidden="false" customHeight="false" outlineLevel="0" collapsed="false">
      <c r="A3" s="23" t="s">
        <v>111</v>
      </c>
      <c r="B3" s="23" t="s">
        <v>112</v>
      </c>
      <c r="C3" s="23" t="s">
        <v>113</v>
      </c>
      <c r="D3" s="23" t="s">
        <v>114</v>
      </c>
      <c r="E3" s="23" t="s">
        <v>115</v>
      </c>
      <c r="F3" s="24" t="s">
        <v>116</v>
      </c>
    </row>
    <row r="4" customFormat="false" ht="15" hidden="false" customHeight="false" outlineLevel="0" collapsed="false">
      <c r="A4" s="25" t="s">
        <v>88</v>
      </c>
      <c r="B4" s="25" t="s">
        <v>117</v>
      </c>
      <c r="C4" s="25" t="s">
        <v>118</v>
      </c>
      <c r="D4" s="25" t="s">
        <v>119</v>
      </c>
      <c r="E4" s="25" t="s">
        <v>120</v>
      </c>
      <c r="F4" s="26" t="s">
        <v>121</v>
      </c>
    </row>
    <row r="5" customFormat="false" ht="15" hidden="false" customHeight="false" outlineLevel="0" collapsed="false">
      <c r="A5" s="23" t="s">
        <v>122</v>
      </c>
      <c r="B5" s="23" t="s">
        <v>123</v>
      </c>
      <c r="C5" s="23" t="s">
        <v>124</v>
      </c>
      <c r="D5" s="23" t="s">
        <v>125</v>
      </c>
      <c r="E5" s="23" t="s">
        <v>126</v>
      </c>
      <c r="F5" s="24" t="s">
        <v>127</v>
      </c>
    </row>
    <row r="6" customFormat="false" ht="15" hidden="false" customHeight="false" outlineLevel="0" collapsed="false">
      <c r="A6" s="25" t="s">
        <v>77</v>
      </c>
      <c r="B6" s="25" t="s">
        <v>128</v>
      </c>
      <c r="C6" s="25" t="s">
        <v>129</v>
      </c>
      <c r="D6" s="25" t="s">
        <v>130</v>
      </c>
      <c r="E6" s="25" t="s">
        <v>131</v>
      </c>
      <c r="F6" s="26" t="s">
        <v>132</v>
      </c>
    </row>
    <row r="7" customFormat="false" ht="15" hidden="false" customHeight="false" outlineLevel="0" collapsed="false">
      <c r="A7" s="23" t="s">
        <v>133</v>
      </c>
      <c r="B7" s="23" t="s">
        <v>134</v>
      </c>
      <c r="C7" s="23" t="s">
        <v>135</v>
      </c>
      <c r="D7" s="23" t="s">
        <v>136</v>
      </c>
      <c r="E7" s="23" t="s">
        <v>137</v>
      </c>
      <c r="F7" s="24" t="s">
        <v>138</v>
      </c>
    </row>
    <row r="8" customFormat="false" ht="15" hidden="false" customHeight="false" outlineLevel="0" collapsed="false">
      <c r="A8" s="25" t="s">
        <v>139</v>
      </c>
      <c r="B8" s="25" t="s">
        <v>140</v>
      </c>
      <c r="C8" s="25" t="s">
        <v>141</v>
      </c>
      <c r="D8" s="25" t="s">
        <v>142</v>
      </c>
      <c r="E8" s="25" t="s">
        <v>143</v>
      </c>
      <c r="F8" s="26" t="s">
        <v>144</v>
      </c>
    </row>
    <row r="9" customFormat="false" ht="15" hidden="false" customHeight="false" outlineLevel="0" collapsed="false">
      <c r="A9" s="23" t="s">
        <v>102</v>
      </c>
      <c r="B9" s="23" t="s">
        <v>145</v>
      </c>
      <c r="C9" s="23" t="s">
        <v>146</v>
      </c>
      <c r="D9" s="23" t="s">
        <v>145</v>
      </c>
      <c r="E9" s="23" t="s">
        <v>147</v>
      </c>
      <c r="F9" s="24" t="s">
        <v>148</v>
      </c>
    </row>
    <row r="11" customFormat="false" ht="15" hidden="false" customHeight="false" outlineLevel="0" collapsed="false">
      <c r="A11" s="21" t="s">
        <v>149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5" t="s">
        <v>150</v>
      </c>
      <c r="B1" s="5"/>
      <c r="C1" s="5"/>
    </row>
    <row r="2" customFormat="false" ht="15" hidden="false" customHeight="false" outlineLevel="0" collapsed="false">
      <c r="A2" s="6" t="s">
        <v>151</v>
      </c>
      <c r="B2" s="6" t="s">
        <v>24</v>
      </c>
      <c r="C2" s="6" t="s">
        <v>152</v>
      </c>
    </row>
    <row r="3" customFormat="false" ht="15" hidden="false" customHeight="false" outlineLevel="0" collapsed="false">
      <c r="A3" s="27" t="s">
        <v>153</v>
      </c>
      <c r="B3" s="28" t="n">
        <f aca="false">COUNTA('Pricing Model'!A3:A21)</f>
        <v>19</v>
      </c>
      <c r="C3" s="29" t="s">
        <v>154</v>
      </c>
    </row>
    <row r="4" customFormat="false" ht="15" hidden="false" customHeight="false" outlineLevel="0" collapsed="false">
      <c r="A4" s="30" t="s">
        <v>155</v>
      </c>
      <c r="B4" s="31" t="n">
        <f aca="false">'Pricing Model'!K22</f>
        <v>0.43942226299673</v>
      </c>
      <c r="C4" s="32" t="s">
        <v>156</v>
      </c>
    </row>
    <row r="5" customFormat="false" ht="15" hidden="false" customHeight="false" outlineLevel="0" collapsed="false">
      <c r="A5" s="27" t="s">
        <v>157</v>
      </c>
      <c r="B5" s="33" t="n">
        <f aca="false">'Pricing Model'!P22</f>
        <v>0.273426677688757</v>
      </c>
      <c r="C5" s="29" t="s">
        <v>158</v>
      </c>
    </row>
    <row r="6" customFormat="false" ht="15" hidden="false" customHeight="false" outlineLevel="0" collapsed="false">
      <c r="A6" s="30" t="s">
        <v>159</v>
      </c>
      <c r="B6" s="34" t="n">
        <f aca="false">'Pricing Model'!O22</f>
        <v>521.419323308271</v>
      </c>
      <c r="C6" s="32" t="s">
        <v>160</v>
      </c>
    </row>
    <row r="7" customFormat="false" ht="15" hidden="false" customHeight="false" outlineLevel="0" collapsed="false">
      <c r="A7" s="27" t="s">
        <v>161</v>
      </c>
      <c r="B7" s="35" t="n">
        <f aca="false">'Pricing Model'!I22</f>
        <v>210.507518796993</v>
      </c>
      <c r="C7" s="29" t="s">
        <v>162</v>
      </c>
    </row>
    <row r="8" customFormat="false" ht="15" hidden="false" customHeight="false" outlineLevel="0" collapsed="false">
      <c r="A8" s="30" t="s">
        <v>163</v>
      </c>
      <c r="B8" s="34" t="n">
        <f aca="false">'Pricing Model'!Q22</f>
        <v>233.421052631579</v>
      </c>
      <c r="C8" s="32" t="s">
        <v>164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5" t="s">
        <v>165</v>
      </c>
      <c r="B1" s="5"/>
      <c r="C1" s="5"/>
      <c r="D1" s="5"/>
    </row>
    <row r="2" customFormat="false" ht="15" hidden="false" customHeight="false" outlineLevel="0" collapsed="false">
      <c r="A2" s="6" t="s">
        <v>41</v>
      </c>
      <c r="B2" s="6" t="s">
        <v>166</v>
      </c>
      <c r="C2" s="6" t="s">
        <v>43</v>
      </c>
      <c r="D2" s="6" t="s">
        <v>167</v>
      </c>
    </row>
    <row r="3" customFormat="false" ht="15" hidden="false" customHeight="false" outlineLevel="0" collapsed="false">
      <c r="A3" s="13" t="s">
        <v>58</v>
      </c>
      <c r="B3" s="13" t="s">
        <v>59</v>
      </c>
      <c r="C3" s="13" t="s">
        <v>60</v>
      </c>
      <c r="D3" s="36" t="n">
        <v>2190</v>
      </c>
    </row>
    <row r="4" customFormat="false" ht="15" hidden="false" customHeight="false" outlineLevel="0" collapsed="false">
      <c r="A4" s="37" t="s">
        <v>61</v>
      </c>
      <c r="B4" s="37" t="s">
        <v>62</v>
      </c>
      <c r="C4" s="37" t="s">
        <v>60</v>
      </c>
      <c r="D4" s="38" t="n">
        <v>2150</v>
      </c>
    </row>
    <row r="5" customFormat="false" ht="15" hidden="false" customHeight="false" outlineLevel="0" collapsed="false">
      <c r="A5" s="13" t="s">
        <v>63</v>
      </c>
      <c r="B5" s="13" t="s">
        <v>64</v>
      </c>
      <c r="C5" s="13" t="s">
        <v>60</v>
      </c>
      <c r="D5" s="36" t="n">
        <v>2490</v>
      </c>
    </row>
    <row r="6" customFormat="false" ht="15" hidden="false" customHeight="false" outlineLevel="0" collapsed="false">
      <c r="A6" s="37" t="s">
        <v>65</v>
      </c>
      <c r="B6" s="37" t="s">
        <v>66</v>
      </c>
      <c r="C6" s="37" t="s">
        <v>60</v>
      </c>
      <c r="D6" s="38" t="n">
        <v>2750</v>
      </c>
    </row>
    <row r="7" customFormat="false" ht="15" hidden="false" customHeight="false" outlineLevel="0" collapsed="false">
      <c r="A7" s="13" t="s">
        <v>67</v>
      </c>
      <c r="B7" s="13" t="s">
        <v>68</v>
      </c>
      <c r="C7" s="13" t="s">
        <v>60</v>
      </c>
      <c r="D7" s="36" t="n">
        <v>2750</v>
      </c>
    </row>
    <row r="8" customFormat="false" ht="15" hidden="false" customHeight="false" outlineLevel="0" collapsed="false">
      <c r="A8" s="37" t="s">
        <v>69</v>
      </c>
      <c r="B8" s="37" t="s">
        <v>70</v>
      </c>
      <c r="C8" s="37" t="s">
        <v>60</v>
      </c>
      <c r="D8" s="38" t="n">
        <v>2750</v>
      </c>
    </row>
    <row r="9" customFormat="false" ht="15" hidden="false" customHeight="false" outlineLevel="0" collapsed="false">
      <c r="A9" s="13" t="s">
        <v>71</v>
      </c>
      <c r="B9" s="13" t="s">
        <v>72</v>
      </c>
      <c r="C9" s="13" t="s">
        <v>60</v>
      </c>
      <c r="D9" s="36" t="n">
        <v>2990</v>
      </c>
    </row>
    <row r="10" customFormat="false" ht="15" hidden="false" customHeight="false" outlineLevel="0" collapsed="false">
      <c r="A10" s="37" t="s">
        <v>73</v>
      </c>
      <c r="B10" s="37" t="s">
        <v>74</v>
      </c>
      <c r="C10" s="37" t="s">
        <v>60</v>
      </c>
      <c r="D10" s="38" t="n">
        <v>2990</v>
      </c>
    </row>
    <row r="11" customFormat="false" ht="15" hidden="false" customHeight="false" outlineLevel="0" collapsed="false">
      <c r="A11" s="13" t="s">
        <v>75</v>
      </c>
      <c r="B11" s="13" t="s">
        <v>76</v>
      </c>
      <c r="C11" s="13" t="s">
        <v>77</v>
      </c>
      <c r="D11" s="36" t="n">
        <v>1150</v>
      </c>
    </row>
    <row r="12" customFormat="false" ht="15" hidden="false" customHeight="false" outlineLevel="0" collapsed="false">
      <c r="A12" s="37" t="s">
        <v>78</v>
      </c>
      <c r="B12" s="37" t="s">
        <v>79</v>
      </c>
      <c r="C12" s="37" t="s">
        <v>77</v>
      </c>
      <c r="D12" s="38" t="n">
        <v>1250</v>
      </c>
    </row>
    <row r="13" customFormat="false" ht="15" hidden="false" customHeight="false" outlineLevel="0" collapsed="false">
      <c r="A13" s="13" t="s">
        <v>80</v>
      </c>
      <c r="B13" s="13" t="s">
        <v>81</v>
      </c>
      <c r="C13" s="13" t="s">
        <v>77</v>
      </c>
      <c r="D13" s="36" t="n">
        <v>1250</v>
      </c>
    </row>
    <row r="14" customFormat="false" ht="15" hidden="false" customHeight="false" outlineLevel="0" collapsed="false">
      <c r="A14" s="37" t="s">
        <v>82</v>
      </c>
      <c r="B14" s="37" t="s">
        <v>83</v>
      </c>
      <c r="C14" s="37" t="s">
        <v>77</v>
      </c>
      <c r="D14" s="38" t="n">
        <v>1450</v>
      </c>
    </row>
    <row r="15" customFormat="false" ht="15" hidden="false" customHeight="false" outlineLevel="0" collapsed="false">
      <c r="A15" s="13" t="s">
        <v>84</v>
      </c>
      <c r="B15" s="13" t="s">
        <v>85</v>
      </c>
      <c r="C15" s="13" t="s">
        <v>77</v>
      </c>
      <c r="D15" s="36" t="n">
        <v>1490</v>
      </c>
    </row>
    <row r="16" customFormat="false" ht="15" hidden="false" customHeight="false" outlineLevel="0" collapsed="false">
      <c r="A16" s="37" t="s">
        <v>86</v>
      </c>
      <c r="B16" s="37" t="s">
        <v>87</v>
      </c>
      <c r="C16" s="37" t="s">
        <v>88</v>
      </c>
      <c r="D16" s="38" t="n">
        <v>1250</v>
      </c>
    </row>
    <row r="17" customFormat="false" ht="15" hidden="false" customHeight="false" outlineLevel="0" collapsed="false">
      <c r="A17" s="13" t="s">
        <v>89</v>
      </c>
      <c r="B17" s="13" t="s">
        <v>90</v>
      </c>
      <c r="C17" s="13" t="s">
        <v>88</v>
      </c>
      <c r="D17" s="36" t="n">
        <v>1350</v>
      </c>
    </row>
    <row r="18" customFormat="false" ht="15" hidden="false" customHeight="false" outlineLevel="0" collapsed="false">
      <c r="A18" s="37" t="s">
        <v>91</v>
      </c>
      <c r="B18" s="37" t="s">
        <v>92</v>
      </c>
      <c r="C18" s="37" t="s">
        <v>93</v>
      </c>
      <c r="D18" s="38" t="n">
        <v>1050</v>
      </c>
    </row>
    <row r="19" customFormat="false" ht="15" hidden="false" customHeight="false" outlineLevel="0" collapsed="false">
      <c r="A19" s="13" t="s">
        <v>94</v>
      </c>
      <c r="B19" s="13" t="s">
        <v>95</v>
      </c>
      <c r="C19" s="13" t="s">
        <v>96</v>
      </c>
      <c r="D19" s="36" t="n">
        <v>1090</v>
      </c>
    </row>
    <row r="20" customFormat="false" ht="15" hidden="false" customHeight="false" outlineLevel="0" collapsed="false">
      <c r="A20" s="37" t="s">
        <v>97</v>
      </c>
      <c r="B20" s="37" t="s">
        <v>98</v>
      </c>
      <c r="C20" s="37" t="s">
        <v>99</v>
      </c>
      <c r="D20" s="38" t="n">
        <v>2790</v>
      </c>
    </row>
    <row r="21" customFormat="false" ht="15" hidden="false" customHeight="false" outlineLevel="0" collapsed="false">
      <c r="A21" s="13" t="s">
        <v>100</v>
      </c>
      <c r="B21" s="13" t="s">
        <v>101</v>
      </c>
      <c r="C21" s="13" t="s">
        <v>102</v>
      </c>
      <c r="D21" s="36" t="n">
        <v>2150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2026-05-31T17:33:31Z</dcterms:created>
  <dc:creator>openpyxl</dc:creator>
  <dc:description/>
  <dc:language>en-US</dc:language>
  <cp:lastModifiedBy/>
  <dcterms:modified xsi:type="dcterms:W3CDTF">2026-05-31T17:33:31Z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