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Product Master" sheetId="3" state="visible" r:id="rId5"/>
    <sheet name="Pricing Model" sheetId="4" state="visible" r:id="rId6"/>
    <sheet name="Competitor Benchmarks" sheetId="5" state="visible" r:id="rId7"/>
    <sheet name="Summ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B Active model</author>
  </authors>
  <commentList>
    <comment ref="D3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4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5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6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7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8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9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0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1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2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3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4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5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6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7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8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19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20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  <comment ref="D21" authorId="0">
      <text>
        <r>
          <rPr>
            <sz val="10"/>
            <rFont val="Arial"/>
            <family val="2"/>
          </rPr>
          <t xml:space="preserve">Source: Barry Active.xlsx, unit 'Price in Peso'</t>
        </r>
      </text>
    </comment>
  </commentList>
</comments>
</file>

<file path=xl/sharedStrings.xml><?xml version="1.0" encoding="utf-8"?>
<sst xmlns="http://schemas.openxmlformats.org/spreadsheetml/2006/main" count="372" uniqueCount="260">
  <si>
    <t xml:space="preserve">B Active — Product &amp; Pricing Master</t>
  </si>
  <si>
    <t xml:space="preserve">Companion to the Master Build Guide and the Pricing Strategy guide. Prices in Philippine Peso (₱).</t>
  </si>
  <si>
    <t xml:space="preserve">WHAT'S INSIDE</t>
  </si>
  <si>
    <t xml:space="preserve">• Product Master — every launch style: name, category, colourways, image, copy, current vs recommended price.</t>
  </si>
  <si>
    <t xml:space="preserve">• Pricing Model — live formulas: real landed cost → fully-loaded cost → gross margin → net contribution.</t>
  </si>
  <si>
    <t xml:space="preserve">• Competitor Benchmarks — PH retail price bands by category &amp; tier (from research report 07).</t>
  </si>
  <si>
    <t xml:space="preserve">• Assumptions — the editable numbers that drive the model (yellow cells). Change these and the model updates.</t>
  </si>
  <si>
    <t xml:space="preserve">• Summary — blended margins and the current-vs-recommended uplift.</t>
  </si>
  <si>
    <t xml:space="preserve">HOW TO READ THE COLOURS (Pricing Model &amp; Assumptions)</t>
  </si>
  <si>
    <t xml:space="preserve">• Blue text  = an input you can change (cost, current SRP, recommended price).</t>
  </si>
  <si>
    <t xml:space="preserve">• Black text = a formula / calculation.</t>
  </si>
  <si>
    <t xml:space="preserve">• Green text = a value pulled from the Assumptions sheet.</t>
  </si>
  <si>
    <t xml:space="preserve">• Yellow cell = a key assumption to review.</t>
  </si>
  <si>
    <t xml:space="preserve">KEY TAKEAWAYS</t>
  </si>
  <si>
    <t xml:space="preserve">1) Your real landed cost is higher than the sourcing sheet's 'profit' implies — it excludes branding, inbound</t>
  </si>
  <si>
    <t xml:space="preserve">   freight, payment fees, shipping and returns. The model adds these back so margins are honest.</t>
  </si>
  <si>
    <t xml:space="preserve">2) Entry items (skorts, leggings, bra, tank) were under-priced like mass-market. Recommended prices lift them</t>
  </si>
  <si>
    <t xml:space="preserve">   to a premium-accessible level — still well below imports — improving BOTH margin and brand perception.</t>
  </si>
  <si>
    <t xml:space="preserve">3) Premium dresses and the set keep strong absolute profit near current prices.</t>
  </si>
  <si>
    <t xml:space="preserve">4) All recommended prices use PH-friendly endings and respect the ₱1,000 / ₱2,000 mental price walls.</t>
  </si>
  <si>
    <t xml:space="preserve">Source of costs: Barry Active.xlsx (1st &amp; 2nd Batch, 'Price in Peso' per unit). Benchmarks: research/07_ph_pricing_benchmarks.md.</t>
  </si>
  <si>
    <t xml:space="preserve">Assumptions (edit the yellow cells)</t>
  </si>
  <si>
    <t xml:space="preserve">Assumption</t>
  </si>
  <si>
    <t xml:space="preserve">Unit</t>
  </si>
  <si>
    <t xml:space="preserve">Value</t>
  </si>
  <si>
    <t xml:space="preserve">Note / source</t>
  </si>
  <si>
    <t xml:space="preserve">Inbound, branding &amp; freight per unit</t>
  </si>
  <si>
    <t xml:space="preserve">₱</t>
  </si>
  <si>
    <t xml:space="preserve">Derived: 2nd-batch logo+hangtag+inbound shipping ≈ ₱146/unit</t>
  </si>
  <si>
    <t xml:space="preserve">Packaging &amp; polymailer per unit</t>
  </si>
  <si>
    <t xml:space="preserve">Mailer, tissue, hangtag string, thank-you card</t>
  </si>
  <si>
    <t xml:space="preserve">Payment processing (blended)</t>
  </si>
  <si>
    <t xml:space="preserve">%</t>
  </si>
  <si>
    <t xml:space="preserve">PayMongo: cards ~3.1%, GCash ~2.2%, Maya ~1.8% → ~2.5% blended (May 2026)</t>
  </si>
  <si>
    <t xml:space="preserve">Outbound shipping borne by brand / unit</t>
  </si>
  <si>
    <t xml:space="preserve">Blended after customer-paid + free-shipping subsidy mix</t>
  </si>
  <si>
    <t xml:space="preserve">Returns/exchange + COD RTS allowance / unit</t>
  </si>
  <si>
    <t xml:space="preserve">COD bounce 20–40%; 7-day size exchange handling</t>
  </si>
  <si>
    <t xml:space="preserve">FX rate USD→PHP</t>
  </si>
  <si>
    <t xml:space="preserve">Source: Barry Active.xlsx 2nd Batch</t>
  </si>
  <si>
    <t xml:space="preserve">Target gross margin (reference only)</t>
  </si>
  <si>
    <t xml:space="preserve">Guidance band 55–68% on fully-loaded cost</t>
  </si>
  <si>
    <t xml:space="preserve">Product Master — B Active launch range</t>
  </si>
  <si>
    <t xml:space="preserve">SKU</t>
  </si>
  <si>
    <t xml:space="preserve">Product Name</t>
  </si>
  <si>
    <t xml:space="preserve">Category</t>
  </si>
  <si>
    <t xml:space="preserve">Collection</t>
  </si>
  <si>
    <t xml:space="preserve">Colourways</t>
  </si>
  <si>
    <t xml:space="preserve">Sizes</t>
  </si>
  <si>
    <t xml:space="preserve">Image file</t>
  </si>
  <si>
    <t xml:space="preserve">Short description</t>
  </si>
  <si>
    <t xml:space="preserve">Key features</t>
  </si>
  <si>
    <t xml:space="preserve">Rec. retail ₱</t>
  </si>
  <si>
    <t xml:space="preserve">YY9141</t>
  </si>
  <si>
    <t xml:space="preserve">The Court Dress</t>
  </si>
  <si>
    <t xml:space="preserve">Pickleball Dress</t>
  </si>
  <si>
    <t xml:space="preserve">The Court Edit</t>
  </si>
  <si>
    <t xml:space="preserve">Court Ivory, Wisteria, Stone</t>
  </si>
  <si>
    <t xml:space="preserve">S–XL</t>
  </si>
  <si>
    <t xml:space="preserve">1stBatch_YY9141_6_5.png</t>
  </si>
  <si>
    <t xml:space="preserve">Our signature pleated pickleball dress — buttery-soft, with built-in shorts, a ball pocket and a built-in bra that holds its shape through every rally.</t>
  </si>
  <si>
    <t xml:space="preserve">CourtSoft™ 4-way stretch • Built-in shorts with ball pocket • Built-in light-support bra, removable pads • Pleated skirt • Asian fit, S–XL</t>
  </si>
  <si>
    <t xml:space="preserve">YY8793</t>
  </si>
  <si>
    <t xml:space="preserve">The Rally Dress</t>
  </si>
  <si>
    <t xml:space="preserve">Midnight</t>
  </si>
  <si>
    <t xml:space="preserve">1stBatch_YY8793_2_1.png</t>
  </si>
  <si>
    <t xml:space="preserve">An open scoop-back dress with a flattering side tie that skims and moves with you.</t>
  </si>
  <si>
    <t xml:space="preserve">CourtSoft™ 4-way stretch • Built-in shorts with ball pocket • Scoop back • Side tie • Asian fit, S–XL</t>
  </si>
  <si>
    <t xml:space="preserve">YY4001</t>
  </si>
  <si>
    <t xml:space="preserve">The Bubble Dress</t>
  </si>
  <si>
    <t xml:space="preserve">Court Ivory, Sakura, Powder, Wisteria, Onyx</t>
  </si>
  <si>
    <t xml:space="preserve">1stBatch_YY4001_8_7.png</t>
  </si>
  <si>
    <t xml:space="preserve">A sculpted bodice meets a playful bubble hem — the dress everyone asks about, court-to-café ready.</t>
  </si>
  <si>
    <t xml:space="preserve">CourtSoft™ stretch • Built-in shorts with ball pocket • Built-in bra, removable pads • Statement bubble hem • Asian fit, S–XL</t>
  </si>
  <si>
    <t xml:space="preserve">AS5019</t>
  </si>
  <si>
    <t xml:space="preserve">The Match Dress</t>
  </si>
  <si>
    <t xml:space="preserve">Court Ivory</t>
  </si>
  <si>
    <t xml:space="preserve">2ndBatch_AS5019_36_36.png</t>
  </si>
  <si>
    <t xml:space="preserve">Preppy zip-front dress with crisp striped trim and a pleated skirt.</t>
  </si>
  <si>
    <t xml:space="preserve">CourtSoft™ • Front zip • Contrast striped trim • Built-in shorts + bra • Pleated skirt • Asian fit, S–XL</t>
  </si>
  <si>
    <t xml:space="preserve">AS5028</t>
  </si>
  <si>
    <t xml:space="preserve">The Serve Dress</t>
  </si>
  <si>
    <t xml:space="preserve">Sakura</t>
  </si>
  <si>
    <t xml:space="preserve">2ndBatch_AS5028_37_37.png</t>
  </si>
  <si>
    <t xml:space="preserve">A scoop-neck racerback tank dress with a pleated skirt — clean lines, full movement.</t>
  </si>
  <si>
    <t xml:space="preserve">CourtSoft™ • Racerback • Pleated skirt • Built-in shorts + bra • Asian fit, S–XL</t>
  </si>
  <si>
    <t xml:space="preserve">YY9187</t>
  </si>
  <si>
    <t xml:space="preserve">The Eyelet Dress</t>
  </si>
  <si>
    <t xml:space="preserve">Onyx, Court Ivory, Powder</t>
  </si>
  <si>
    <t xml:space="preserve">2ndBatch_YY9187_10_8.png</t>
  </si>
  <si>
    <t xml:space="preserve">A textured eyelet dress with a flattering drop-waist flare — quietly premium, on court and off.</t>
  </si>
  <si>
    <t xml:space="preserve">Textured eyelet knit • Built-in shorts + bra • Drop-waist flare • Asian fit, S–XL</t>
  </si>
  <si>
    <t xml:space="preserve">AS818</t>
  </si>
  <si>
    <t xml:space="preserve">The Varsity Dress</t>
  </si>
  <si>
    <t xml:space="preserve">Sagewood</t>
  </si>
  <si>
    <t xml:space="preserve">2ndBatch_AS818_33_33.png</t>
  </si>
  <si>
    <t xml:space="preserve">Collared and contrast-trimmed with a sharp pleated skirt — preppy performance with attitude.</t>
  </si>
  <si>
    <t xml:space="preserve">CourtSoft™ • Collar + contrast trim • Built-in shorts + support bra • Pleated skirt • Asian fit, S–XL</t>
  </si>
  <si>
    <t xml:space="preserve">AS811</t>
  </si>
  <si>
    <t xml:space="preserve">The Ace Dress</t>
  </si>
  <si>
    <t xml:space="preserve">Apricot, Clay Red</t>
  </si>
  <si>
    <t xml:space="preserve">2ndBatch_AS811_34_34.png</t>
  </si>
  <si>
    <t xml:space="preserve">A fit-and-flare dress with contrast trim and a twirl-ready skirt — made to be noticed.</t>
  </si>
  <si>
    <t xml:space="preserve">CourtSoft™ • Contrast waist stripe • Built-in shorts + bra • Flared skirt • Asian fit, S–XL</t>
  </si>
  <si>
    <t xml:space="preserve">DK21-015</t>
  </si>
  <si>
    <t xml:space="preserve">The Everyday Skort</t>
  </si>
  <si>
    <t xml:space="preserve">Skort</t>
  </si>
  <si>
    <t xml:space="preserve">Everyday Active</t>
  </si>
  <si>
    <t xml:space="preserve">Sakura, Stone, Court Ivory, Onyx</t>
  </si>
  <si>
    <t xml:space="preserve">2ndBatch_DK21-015_3_1.png</t>
  </si>
  <si>
    <t xml:space="preserve">A flared everyday skort with secure built-in shorts — no ride-up, all-day comfort.</t>
  </si>
  <si>
    <t xml:space="preserve">CourtSoft™ • Built-in shorts with pocket • Flared cut • High waistband • Asian fit, S–XL</t>
  </si>
  <si>
    <t xml:space="preserve">DK251204445</t>
  </si>
  <si>
    <t xml:space="preserve">The Pleated Skort</t>
  </si>
  <si>
    <t xml:space="preserve">Onyx [+ colours TBC]</t>
  </si>
  <si>
    <t xml:space="preserve">1stBatch_DK251204445_5_4.png</t>
  </si>
  <si>
    <t xml:space="preserve">A high-waist pleated skort with built-in shorts — swing freely, stay covered.</t>
  </si>
  <si>
    <t xml:space="preserve">Pleated • Built-in shorts with pocket • High waist • Asian fit, S–XL</t>
  </si>
  <si>
    <t xml:space="preserve">DK240420367</t>
  </si>
  <si>
    <t xml:space="preserve">The Flow Skort</t>
  </si>
  <si>
    <t xml:space="preserve">Court Ivory [+ colours TBC]</t>
  </si>
  <si>
    <t xml:space="preserve">1stBatch_DK240420367_3_2.png</t>
  </si>
  <si>
    <t xml:space="preserve">A flared skort with a clean diagonal seam and contrast piping.</t>
  </si>
  <si>
    <t xml:space="preserve">Built-in shorts with pocket • Diagonal seam + piping • Flared • Asian fit, S–XL</t>
  </si>
  <si>
    <t xml:space="preserve">D31</t>
  </si>
  <si>
    <t xml:space="preserve">The Breeze Skort</t>
  </si>
  <si>
    <t xml:space="preserve">Night Indigo, Meadow Green, Sakura, Onyx, Court Ivory</t>
  </si>
  <si>
    <t xml:space="preserve">2ndBatch_D31_19_17.png</t>
  </si>
  <si>
    <t xml:space="preserve">A lightweight A-line skort that moves with every step.</t>
  </si>
  <si>
    <t xml:space="preserve">BreezeKnit™ • Built-in shorts with pocket • A-line flare • Asian fit, S–XL</t>
  </si>
  <si>
    <t xml:space="preserve">D29</t>
  </si>
  <si>
    <t xml:space="preserve">The Court Skort</t>
  </si>
  <si>
    <t xml:space="preserve">Midnight, Court Ivory, Oil Blue, Sakura, Green Jasper</t>
  </si>
  <si>
    <t xml:space="preserve">2ndBatch_D29_13_11.png</t>
  </si>
  <si>
    <t xml:space="preserve">Our premium pleated skort — structured waistband, deep pleats, secure inner shorts.</t>
  </si>
  <si>
    <t xml:space="preserve">CourtSoft™ • Built-in shorts with ball pocket • Structured pleats • Asian fit, S–XL</t>
  </si>
  <si>
    <t xml:space="preserve">ADCK1583</t>
  </si>
  <si>
    <t xml:space="preserve">The Sculpt Legging</t>
  </si>
  <si>
    <t xml:space="preserve">Leggings</t>
  </si>
  <si>
    <t xml:space="preserve">Almond, Stone [+ colours TBC]</t>
  </si>
  <si>
    <t xml:space="preserve">1stBatch_ADCK1583_9_8.png</t>
  </si>
  <si>
    <t xml:space="preserve">High-waist sculpting leggings with a contour seam and squat-proof coverage.</t>
  </si>
  <si>
    <t xml:space="preserve">CourtSoft™ squat-proof • High waist • Contour seam • Asian fit, S–XL</t>
  </si>
  <si>
    <t xml:space="preserve">CK1237</t>
  </si>
  <si>
    <t xml:space="preserve">The Core Legging</t>
  </si>
  <si>
    <t xml:space="preserve">Wisteria [+ colours TBC]</t>
  </si>
  <si>
    <t xml:space="preserve">1stBatch_CK1237_7_6.png</t>
  </si>
  <si>
    <t xml:space="preserve">Buttery-soft high-waist leggings for court and everyday — your go-to base layer.</t>
  </si>
  <si>
    <t xml:space="preserve">CourtSoft™ • High waist • Squat-proof • Asian fit, S–XL</t>
  </si>
  <si>
    <t xml:space="preserve">WX1506</t>
  </si>
  <si>
    <t xml:space="preserve">The Ribbed Tank</t>
  </si>
  <si>
    <t xml:space="preserve">Top</t>
  </si>
  <si>
    <t xml:space="preserve">Sakura [+ colours TBC]</t>
  </si>
  <si>
    <t xml:space="preserve">1stBatch_WX1506_4_3.png</t>
  </si>
  <si>
    <t xml:space="preserve">A ribbed racerback crop that layers over any bra and wears solo just as well.</t>
  </si>
  <si>
    <t xml:space="preserve">Buttery-soft ribbed knit • Racerback • Crop length • Asian fit, S–XL</t>
  </si>
  <si>
    <t xml:space="preserve">ADWX1249</t>
  </si>
  <si>
    <t xml:space="preserve">The Strappy Bra</t>
  </si>
  <si>
    <t xml:space="preserve">Sports Bra</t>
  </si>
  <si>
    <t xml:space="preserve">Apricot, Powder, Onyx, Court Ivory</t>
  </si>
  <si>
    <t xml:space="preserve">2ndBatch_ADWX1249_6_4.png</t>
  </si>
  <si>
    <t xml:space="preserve">A strappy multi-back sports bra with light–medium support and removable pads.</t>
  </si>
  <si>
    <t xml:space="preserve">SecondSkin™ no-dig • Strappy back • Removable pads • Light–medium support • Asian fit, S–XL</t>
  </si>
  <si>
    <t xml:space="preserve">C36</t>
  </si>
  <si>
    <t xml:space="preserve">The Halter Set</t>
  </si>
  <si>
    <t xml:space="preserve">Set</t>
  </si>
  <si>
    <t xml:space="preserve">The Rally Set</t>
  </si>
  <si>
    <t xml:space="preserve">Sakura, Court Ivory, Almond, Bloom, Powder, Onyx</t>
  </si>
  <si>
    <t xml:space="preserve">2ndBatch_C36_28_25.png</t>
  </si>
  <si>
    <t xml:space="preserve">A flattering halter bra and high-waist leggings that move as one — one decision, head-to-toe.</t>
  </si>
  <si>
    <t xml:space="preserve">CourtSoft™ squat-proof • Halter bra, removable pads • High-waist leggings with pockets • Mix-and-match • Asian fit, S–XL</t>
  </si>
  <si>
    <t xml:space="preserve">PADDLE-1</t>
  </si>
  <si>
    <t xml:space="preserve">B Active Paddle (single)</t>
  </si>
  <si>
    <t xml:space="preserve">Paddle</t>
  </si>
  <si>
    <t xml:space="preserve">Gear</t>
  </si>
  <si>
    <t xml:space="preserve">Samurai Black, Chinese Red, Elite Blue</t>
  </si>
  <si>
    <t xml:space="preserve">One size</t>
  </si>
  <si>
    <t xml:space="preserve">(supplier)</t>
  </si>
  <si>
    <t xml:space="preserve">A balanced, control-friendly paddle for new and improving players.</t>
  </si>
  <si>
    <t xml:space="preserve">Fibreglass face • Comfort grip • [confirm specs/USAPA] • 3 colourways</t>
  </si>
  <si>
    <t xml:space="preserve">Pricing Model — landed cost → margin → net contribution (₱)</t>
  </si>
  <si>
    <t xml:space="preserve">Product</t>
  </si>
  <si>
    <t xml:space="preserve">Product cost</t>
  </si>
  <si>
    <t xml:space="preserve">Inbound/brand</t>
  </si>
  <si>
    <t xml:space="preserve">Packaging</t>
  </si>
  <si>
    <t xml:space="preserve">Fully-loaded cost</t>
  </si>
  <si>
    <t xml:space="preserve">Current SRP</t>
  </si>
  <si>
    <t xml:space="preserve">RECOMMENDED</t>
  </si>
  <si>
    <t xml:space="preserve">Gross profit</t>
  </si>
  <si>
    <t xml:space="preserve">Gross margin</t>
  </si>
  <si>
    <t xml:space="preserve">Markup</t>
  </si>
  <si>
    <t xml:space="preserve">Pay fee</t>
  </si>
  <si>
    <t xml:space="preserve">Ship allow</t>
  </si>
  <si>
    <t xml:space="preserve">Returns allow</t>
  </si>
  <si>
    <t xml:space="preserve">Net contribution</t>
  </si>
  <si>
    <t xml:space="preserve">Net margin</t>
  </si>
  <si>
    <t xml:space="preserve">AVERAGE / BLENDED</t>
  </si>
  <si>
    <t xml:space="preserve">Net contribution = gross profit − payment fee − shipping allowance − returns/COD allowance. Marketing/CAC and fixed overhead are NOT included here (see Pricing Strategy guide).</t>
  </si>
  <si>
    <t xml:space="preserve">PH Retail Price Benchmarks by Category &amp; Tier (₱) — research/07</t>
  </si>
  <si>
    <t xml:space="preserve">Local premium (Recess/Andi/MILLENNX)</t>
  </si>
  <si>
    <t xml:space="preserve">Pickleball-specific / Bench / Decathlon</t>
  </si>
  <si>
    <t xml:space="preserve">International (Nike/Lulu/Adidas) PH</t>
  </si>
  <si>
    <t xml:space="preserve">Shopee/Lazada marketplace</t>
  </si>
  <si>
    <t xml:space="preserve">B Active recommended</t>
  </si>
  <si>
    <t xml:space="preserve">Sports bra</t>
  </si>
  <si>
    <t xml:space="preserve">599–1,980</t>
  </si>
  <si>
    <t xml:space="preserve">299–799</t>
  </si>
  <si>
    <t xml:space="preserve">1,295–4,400</t>
  </si>
  <si>
    <t xml:space="preserve">99–1,500</t>
  </si>
  <si>
    <t xml:space="preserve">895</t>
  </si>
  <si>
    <t xml:space="preserve">719–1,980</t>
  </si>
  <si>
    <t xml:space="preserve">399–999</t>
  </si>
  <si>
    <t xml:space="preserve">1,695–7,360</t>
  </si>
  <si>
    <t xml:space="preserve">150–1,800</t>
  </si>
  <si>
    <t xml:space="preserve">1,090–1,190</t>
  </si>
  <si>
    <t xml:space="preserve">Tank / top</t>
  </si>
  <si>
    <t xml:space="preserve">599–1,149</t>
  </si>
  <si>
    <t xml:space="preserve">299–699</t>
  </si>
  <si>
    <t xml:space="preserve">1,295–2,495</t>
  </si>
  <si>
    <t xml:space="preserve">149–1,299</t>
  </si>
  <si>
    <t xml:space="preserve">795</t>
  </si>
  <si>
    <t xml:space="preserve">Skort / tennis skirt</t>
  </si>
  <si>
    <t xml:space="preserve">950–1,600</t>
  </si>
  <si>
    <t xml:space="preserve">999–1,090 (Bench); 4,250 (import)</t>
  </si>
  <si>
    <t xml:space="preserve">2,095–3,095</t>
  </si>
  <si>
    <t xml:space="preserve">299–1,800</t>
  </si>
  <si>
    <t xml:space="preserve">990–1,290</t>
  </si>
  <si>
    <t xml:space="preserve">Pickleball / tennis dress</t>
  </si>
  <si>
    <t xml:space="preserve">899–1,399</t>
  </si>
  <si>
    <t xml:space="preserve">999–1,500</t>
  </si>
  <si>
    <t xml:space="preserve">3,495–5,795</t>
  </si>
  <si>
    <t xml:space="preserve">350–2,500</t>
  </si>
  <si>
    <t xml:space="preserve">1,890–2,650</t>
  </si>
  <si>
    <t xml:space="preserve">2-piece set</t>
  </si>
  <si>
    <t xml:space="preserve">2,376–3,960</t>
  </si>
  <si>
    <t xml:space="preserve">799–1,299</t>
  </si>
  <si>
    <t xml:space="preserve">3,000–8,000+</t>
  </si>
  <si>
    <t xml:space="preserve">399–3,500</t>
  </si>
  <si>
    <t xml:space="preserve">2,490</t>
  </si>
  <si>
    <t xml:space="preserve">Pickleball paddle</t>
  </si>
  <si>
    <t xml:space="preserve">—</t>
  </si>
  <si>
    <t xml:space="preserve">2,990–17,690 (PickleballPH)</t>
  </si>
  <si>
    <t xml:space="preserve">400–2,500</t>
  </si>
  <si>
    <t xml:space="preserve">1,890 / set 3,490</t>
  </si>
  <si>
    <t xml:space="preserve">Positioning: B Active sits ABOVE Bench/Decathlon and marketplace, BELOW Nike/Lululemon imports. Closest comp = Recess (₱600–1,400).</t>
  </si>
  <si>
    <t xml:space="preserve">Summary — current vs recommended</t>
  </si>
  <si>
    <t xml:space="preserve">Metric</t>
  </si>
  <si>
    <t xml:space="preserve">Notes</t>
  </si>
  <si>
    <t xml:space="preserve">Styles in launch range</t>
  </si>
  <si>
    <t xml:space="preserve">Distinct photographed styles (+ colourways)</t>
  </si>
  <si>
    <t xml:space="preserve">Avg gross margin (recommended)</t>
  </si>
  <si>
    <t xml:space="preserve">On fully-loaded cost</t>
  </si>
  <si>
    <t xml:space="preserve">Avg net contribution margin</t>
  </si>
  <si>
    <t xml:space="preserve">After payment, shipping, returns</t>
  </si>
  <si>
    <t xml:space="preserve">Avg gross profit per unit</t>
  </si>
  <si>
    <t xml:space="preserve">₱ per unit</t>
  </si>
  <si>
    <t xml:space="preserve">Avg net contribution per unit</t>
  </si>
  <si>
    <t xml:space="preserve">₱ per unit, pre-marketing</t>
  </si>
  <si>
    <t xml:space="preserve">Total avg margin uplift vs current</t>
  </si>
  <si>
    <t xml:space="preserve">Avg ₱ price increase per style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</si>
</sst>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%"/>
    <numFmt numFmtId="167" formatCode="\₱#,##0"/>
    <numFmt numFmtId="168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B2A28"/>
      <name val="Arial"/>
      <family val="0"/>
      <charset val="1"/>
    </font>
    <font>
      <i val="true"/>
      <sz val="10"/>
      <color rgb="FF6E675F"/>
      <name val="Arial"/>
      <family val="0"/>
      <charset val="1"/>
    </font>
    <font>
      <sz val="10"/>
      <color rgb="FF2B2A28"/>
      <name val="Arial"/>
      <family val="0"/>
      <charset val="1"/>
    </font>
    <font>
      <b val="true"/>
      <sz val="11"/>
      <color rgb="FF2B2A2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1"/>
      <color rgb="FF2B2A28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6E675F"/>
      <name val="Arial"/>
      <family val="0"/>
      <charset val="1"/>
    </font>
    <font>
      <b val="true"/>
      <sz val="10"/>
      <color rgb="FF2B2A28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6E675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B2A28"/>
        <bgColor rgb="FF333300"/>
      </patternFill>
    </fill>
    <fill>
      <patternFill patternType="solid">
        <fgColor rgb="FF9CAE92"/>
        <bgColor rgb="FFC0C0C0"/>
      </patternFill>
    </fill>
    <fill>
      <patternFill patternType="solid">
        <fgColor rgb="FFFFF2A8"/>
        <bgColor rgb="FFE6DFD5"/>
      </patternFill>
    </fill>
    <fill>
      <patternFill patternType="solid">
        <fgColor rgb="FFFAF8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6DFD5"/>
      </left>
      <right style="thin">
        <color rgb="FFE6DFD5"/>
      </right>
      <top style="thin">
        <color rgb="FFE6DFD5"/>
      </top>
      <bottom style="thin">
        <color rgb="FFE6DF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8F4"/>
      <rgbColor rgb="FFCCFFFF"/>
      <rgbColor rgb="FF660066"/>
      <rgbColor rgb="FFFF8080"/>
      <rgbColor rgb="FF0066CC"/>
      <rgbColor rgb="FFE6DF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75F"/>
      <rgbColor rgb="FF9CAE92"/>
      <rgbColor rgb="FF003366"/>
      <rgbColor rgb="FF339966"/>
      <rgbColor rgb="FF003300"/>
      <rgbColor rgb="FF333300"/>
      <rgbColor rgb="FF993300"/>
      <rgbColor rgb="FF993366"/>
      <rgbColor rgb="FF333399"/>
      <rgbColor rgb="FF2B2A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</row>
    <row r="5" customFormat="false" ht="15" hidden="false" customHeight="false" outlineLevel="0" collapsed="false">
      <c r="A5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/>
    </row>
    <row r="12" customFormat="false" ht="15" hidden="false" customHeight="false" outlineLevel="0" collapsed="false">
      <c r="A12" s="4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3"/>
    </row>
    <row r="26" customFormat="false" ht="15" hidden="false" customHeight="false" outlineLevel="0" collapsed="false">
      <c r="A26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5" t="s">
        <v>21</v>
      </c>
      <c r="B1" s="5"/>
      <c r="C1" s="5"/>
    </row>
    <row r="2" customFormat="false" ht="15" hidden="false" customHeight="false" outlineLevel="0" collapsed="false">
      <c r="A2" s="6" t="s">
        <v>22</v>
      </c>
      <c r="B2" s="6" t="s">
        <v>23</v>
      </c>
      <c r="C2" s="6" t="s">
        <v>24</v>
      </c>
      <c r="D2" s="6" t="s">
        <v>25</v>
      </c>
    </row>
    <row r="3" customFormat="false" ht="15" hidden="false" customHeight="false" outlineLevel="0" collapsed="false">
      <c r="A3" s="7" t="s">
        <v>26</v>
      </c>
      <c r="B3" s="8" t="s">
        <v>27</v>
      </c>
      <c r="C3" s="9" t="n">
        <v>150</v>
      </c>
      <c r="D3" s="10" t="s">
        <v>28</v>
      </c>
    </row>
    <row r="4" customFormat="false" ht="15" hidden="false" customHeight="false" outlineLevel="0" collapsed="false">
      <c r="A4" s="7" t="s">
        <v>29</v>
      </c>
      <c r="B4" s="8" t="s">
        <v>27</v>
      </c>
      <c r="C4" s="9" t="n">
        <v>25</v>
      </c>
      <c r="D4" s="10" t="s">
        <v>30</v>
      </c>
    </row>
    <row r="5" customFormat="false" ht="15" hidden="false" customHeight="false" outlineLevel="0" collapsed="false">
      <c r="A5" s="7" t="s">
        <v>31</v>
      </c>
      <c r="B5" s="8" t="s">
        <v>32</v>
      </c>
      <c r="C5" s="11" t="n">
        <v>0.025</v>
      </c>
      <c r="D5" s="10" t="s">
        <v>33</v>
      </c>
    </row>
    <row r="6" customFormat="false" ht="15" hidden="false" customHeight="false" outlineLevel="0" collapsed="false">
      <c r="A6" s="7" t="s">
        <v>34</v>
      </c>
      <c r="B6" s="8" t="s">
        <v>27</v>
      </c>
      <c r="C6" s="9" t="n">
        <v>90</v>
      </c>
      <c r="D6" s="10" t="s">
        <v>35</v>
      </c>
    </row>
    <row r="7" customFormat="false" ht="15" hidden="false" customHeight="false" outlineLevel="0" collapsed="false">
      <c r="A7" s="7" t="s">
        <v>36</v>
      </c>
      <c r="B7" s="8" t="s">
        <v>27</v>
      </c>
      <c r="C7" s="9" t="n">
        <v>120</v>
      </c>
      <c r="D7" s="10" t="s">
        <v>37</v>
      </c>
    </row>
    <row r="8" customFormat="false" ht="15" hidden="false" customHeight="false" outlineLevel="0" collapsed="false">
      <c r="A8" s="7" t="s">
        <v>38</v>
      </c>
      <c r="B8" s="8" t="s">
        <v>27</v>
      </c>
      <c r="C8" s="9" t="n">
        <v>61.47</v>
      </c>
      <c r="D8" s="10" t="s">
        <v>39</v>
      </c>
    </row>
    <row r="9" customFormat="false" ht="15" hidden="false" customHeight="false" outlineLevel="0" collapsed="false">
      <c r="A9" s="7" t="s">
        <v>40</v>
      </c>
      <c r="B9" s="8" t="s">
        <v>32</v>
      </c>
      <c r="C9" s="11" t="n">
        <v>0.6</v>
      </c>
      <c r="D9" s="10" t="s">
        <v>41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9" min="8" style="0" width="46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5" t="s">
        <v>42</v>
      </c>
      <c r="B1" s="5"/>
      <c r="C1" s="5"/>
      <c r="D1" s="5"/>
      <c r="E1" s="5"/>
      <c r="F1" s="5"/>
      <c r="G1" s="5"/>
      <c r="H1" s="5"/>
      <c r="I1" s="5"/>
      <c r="J1" s="5"/>
    </row>
    <row r="2" customFormat="false" ht="26.85" hidden="false" customHeight="false" outlineLevel="0" collapsed="false">
      <c r="A2" s="12" t="s">
        <v>43</v>
      </c>
      <c r="B2" s="12" t="s">
        <v>44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12" t="s">
        <v>50</v>
      </c>
      <c r="I2" s="12" t="s">
        <v>51</v>
      </c>
      <c r="J2" s="12" t="s">
        <v>52</v>
      </c>
    </row>
    <row r="3" customFormat="false" ht="35.05" hidden="false" customHeight="false" outlineLevel="0" collapsed="false">
      <c r="A3" s="13" t="s">
        <v>53</v>
      </c>
      <c r="B3" s="13" t="s">
        <v>54</v>
      </c>
      <c r="C3" s="13" t="s">
        <v>55</v>
      </c>
      <c r="D3" s="13" t="s">
        <v>56</v>
      </c>
      <c r="E3" s="13" t="s">
        <v>57</v>
      </c>
      <c r="F3" s="13" t="s">
        <v>58</v>
      </c>
      <c r="G3" s="13" t="s">
        <v>59</v>
      </c>
      <c r="H3" s="13" t="s">
        <v>60</v>
      </c>
      <c r="I3" s="13" t="s">
        <v>61</v>
      </c>
      <c r="J3" s="14" t="n">
        <v>1950</v>
      </c>
    </row>
    <row r="4" customFormat="false" ht="23.85" hidden="false" customHeight="false" outlineLevel="0" collapsed="false">
      <c r="A4" s="15" t="s">
        <v>62</v>
      </c>
      <c r="B4" s="15" t="s">
        <v>63</v>
      </c>
      <c r="C4" s="15" t="s">
        <v>55</v>
      </c>
      <c r="D4" s="15" t="s">
        <v>56</v>
      </c>
      <c r="E4" s="15" t="s">
        <v>64</v>
      </c>
      <c r="F4" s="15" t="s">
        <v>58</v>
      </c>
      <c r="G4" s="15" t="s">
        <v>65</v>
      </c>
      <c r="H4" s="15" t="s">
        <v>66</v>
      </c>
      <c r="I4" s="15" t="s">
        <v>67</v>
      </c>
      <c r="J4" s="16" t="n">
        <v>1890</v>
      </c>
    </row>
    <row r="5" customFormat="false" ht="35.05" hidden="false" customHeight="false" outlineLevel="0" collapsed="false">
      <c r="A5" s="13" t="s">
        <v>68</v>
      </c>
      <c r="B5" s="13" t="s">
        <v>69</v>
      </c>
      <c r="C5" s="13" t="s">
        <v>55</v>
      </c>
      <c r="D5" s="13" t="s">
        <v>56</v>
      </c>
      <c r="E5" s="13" t="s">
        <v>70</v>
      </c>
      <c r="F5" s="13" t="s">
        <v>58</v>
      </c>
      <c r="G5" s="13" t="s">
        <v>71</v>
      </c>
      <c r="H5" s="13" t="s">
        <v>72</v>
      </c>
      <c r="I5" s="13" t="s">
        <v>73</v>
      </c>
      <c r="J5" s="14" t="n">
        <v>2190</v>
      </c>
    </row>
    <row r="6" customFormat="false" ht="23.85" hidden="false" customHeight="false" outlineLevel="0" collapsed="false">
      <c r="A6" s="15" t="s">
        <v>74</v>
      </c>
      <c r="B6" s="15" t="s">
        <v>75</v>
      </c>
      <c r="C6" s="15" t="s">
        <v>55</v>
      </c>
      <c r="D6" s="15" t="s">
        <v>56</v>
      </c>
      <c r="E6" s="15" t="s">
        <v>76</v>
      </c>
      <c r="F6" s="15" t="s">
        <v>58</v>
      </c>
      <c r="G6" s="15" t="s">
        <v>77</v>
      </c>
      <c r="H6" s="15" t="s">
        <v>78</v>
      </c>
      <c r="I6" s="15" t="s">
        <v>79</v>
      </c>
      <c r="J6" s="16" t="n">
        <v>2450</v>
      </c>
    </row>
    <row r="7" customFormat="false" ht="23.85" hidden="false" customHeight="false" outlineLevel="0" collapsed="false">
      <c r="A7" s="13" t="s">
        <v>80</v>
      </c>
      <c r="B7" s="13" t="s">
        <v>81</v>
      </c>
      <c r="C7" s="13" t="s">
        <v>55</v>
      </c>
      <c r="D7" s="13" t="s">
        <v>56</v>
      </c>
      <c r="E7" s="13" t="s">
        <v>82</v>
      </c>
      <c r="F7" s="13" t="s">
        <v>58</v>
      </c>
      <c r="G7" s="13" t="s">
        <v>83</v>
      </c>
      <c r="H7" s="13" t="s">
        <v>84</v>
      </c>
      <c r="I7" s="13" t="s">
        <v>85</v>
      </c>
      <c r="J7" s="14" t="n">
        <v>2450</v>
      </c>
    </row>
    <row r="8" customFormat="false" ht="23.85" hidden="false" customHeight="false" outlineLevel="0" collapsed="false">
      <c r="A8" s="15" t="s">
        <v>86</v>
      </c>
      <c r="B8" s="15" t="s">
        <v>87</v>
      </c>
      <c r="C8" s="15" t="s">
        <v>55</v>
      </c>
      <c r="D8" s="15" t="s">
        <v>56</v>
      </c>
      <c r="E8" s="15" t="s">
        <v>88</v>
      </c>
      <c r="F8" s="15" t="s">
        <v>58</v>
      </c>
      <c r="G8" s="15" t="s">
        <v>89</v>
      </c>
      <c r="H8" s="15" t="s">
        <v>90</v>
      </c>
      <c r="I8" s="15" t="s">
        <v>91</v>
      </c>
      <c r="J8" s="16" t="n">
        <v>2450</v>
      </c>
    </row>
    <row r="9" customFormat="false" ht="23.85" hidden="false" customHeight="false" outlineLevel="0" collapsed="false">
      <c r="A9" s="13" t="s">
        <v>92</v>
      </c>
      <c r="B9" s="13" t="s">
        <v>93</v>
      </c>
      <c r="C9" s="13" t="s">
        <v>55</v>
      </c>
      <c r="D9" s="13" t="s">
        <v>56</v>
      </c>
      <c r="E9" s="13" t="s">
        <v>94</v>
      </c>
      <c r="F9" s="13" t="s">
        <v>58</v>
      </c>
      <c r="G9" s="13" t="s">
        <v>95</v>
      </c>
      <c r="H9" s="13" t="s">
        <v>96</v>
      </c>
      <c r="I9" s="13" t="s">
        <v>97</v>
      </c>
      <c r="J9" s="14" t="n">
        <v>2650</v>
      </c>
    </row>
    <row r="10" customFormat="false" ht="23.85" hidden="false" customHeight="false" outlineLevel="0" collapsed="false">
      <c r="A10" s="15" t="s">
        <v>98</v>
      </c>
      <c r="B10" s="15" t="s">
        <v>99</v>
      </c>
      <c r="C10" s="15" t="s">
        <v>55</v>
      </c>
      <c r="D10" s="15" t="s">
        <v>56</v>
      </c>
      <c r="E10" s="15" t="s">
        <v>100</v>
      </c>
      <c r="F10" s="15" t="s">
        <v>58</v>
      </c>
      <c r="G10" s="15" t="s">
        <v>101</v>
      </c>
      <c r="H10" s="15" t="s">
        <v>102</v>
      </c>
      <c r="I10" s="15" t="s">
        <v>103</v>
      </c>
      <c r="J10" s="16" t="n">
        <v>2650</v>
      </c>
    </row>
    <row r="11" customFormat="false" ht="23.85" hidden="false" customHeight="false" outlineLevel="0" collapsed="false">
      <c r="A11" s="13" t="s">
        <v>104</v>
      </c>
      <c r="B11" s="13" t="s">
        <v>105</v>
      </c>
      <c r="C11" s="13" t="s">
        <v>106</v>
      </c>
      <c r="D11" s="13" t="s">
        <v>107</v>
      </c>
      <c r="E11" s="13" t="s">
        <v>108</v>
      </c>
      <c r="F11" s="13" t="s">
        <v>58</v>
      </c>
      <c r="G11" s="13" t="s">
        <v>109</v>
      </c>
      <c r="H11" s="13" t="s">
        <v>110</v>
      </c>
      <c r="I11" s="13" t="s">
        <v>111</v>
      </c>
      <c r="J11" s="14" t="n">
        <v>990</v>
      </c>
    </row>
    <row r="12" customFormat="false" ht="23.85" hidden="false" customHeight="false" outlineLevel="0" collapsed="false">
      <c r="A12" s="15" t="s">
        <v>112</v>
      </c>
      <c r="B12" s="15" t="s">
        <v>113</v>
      </c>
      <c r="C12" s="15" t="s">
        <v>106</v>
      </c>
      <c r="D12" s="15" t="s">
        <v>107</v>
      </c>
      <c r="E12" s="15" t="s">
        <v>114</v>
      </c>
      <c r="F12" s="15" t="s">
        <v>58</v>
      </c>
      <c r="G12" s="15" t="s">
        <v>115</v>
      </c>
      <c r="H12" s="15" t="s">
        <v>116</v>
      </c>
      <c r="I12" s="15" t="s">
        <v>117</v>
      </c>
      <c r="J12" s="16" t="n">
        <v>1090</v>
      </c>
    </row>
    <row r="13" customFormat="false" ht="23.85" hidden="false" customHeight="false" outlineLevel="0" collapsed="false">
      <c r="A13" s="13" t="s">
        <v>118</v>
      </c>
      <c r="B13" s="13" t="s">
        <v>119</v>
      </c>
      <c r="C13" s="13" t="s">
        <v>106</v>
      </c>
      <c r="D13" s="13" t="s">
        <v>107</v>
      </c>
      <c r="E13" s="13" t="s">
        <v>120</v>
      </c>
      <c r="F13" s="13" t="s">
        <v>58</v>
      </c>
      <c r="G13" s="13" t="s">
        <v>121</v>
      </c>
      <c r="H13" s="13" t="s">
        <v>122</v>
      </c>
      <c r="I13" s="13" t="s">
        <v>123</v>
      </c>
      <c r="J13" s="14" t="n">
        <v>1090</v>
      </c>
    </row>
    <row r="14" customFormat="false" ht="23.85" hidden="false" customHeight="false" outlineLevel="0" collapsed="false">
      <c r="A14" s="15" t="s">
        <v>124</v>
      </c>
      <c r="B14" s="15" t="s">
        <v>125</v>
      </c>
      <c r="C14" s="15" t="s">
        <v>106</v>
      </c>
      <c r="D14" s="15" t="s">
        <v>107</v>
      </c>
      <c r="E14" s="15" t="s">
        <v>126</v>
      </c>
      <c r="F14" s="15" t="s">
        <v>58</v>
      </c>
      <c r="G14" s="15" t="s">
        <v>127</v>
      </c>
      <c r="H14" s="15" t="s">
        <v>128</v>
      </c>
      <c r="I14" s="15" t="s">
        <v>129</v>
      </c>
      <c r="J14" s="16" t="n">
        <v>1250</v>
      </c>
    </row>
    <row r="15" customFormat="false" ht="23.85" hidden="false" customHeight="false" outlineLevel="0" collapsed="false">
      <c r="A15" s="13" t="s">
        <v>130</v>
      </c>
      <c r="B15" s="13" t="s">
        <v>131</v>
      </c>
      <c r="C15" s="13" t="s">
        <v>106</v>
      </c>
      <c r="D15" s="13" t="s">
        <v>107</v>
      </c>
      <c r="E15" s="13" t="s">
        <v>132</v>
      </c>
      <c r="F15" s="13" t="s">
        <v>58</v>
      </c>
      <c r="G15" s="13" t="s">
        <v>133</v>
      </c>
      <c r="H15" s="13" t="s">
        <v>134</v>
      </c>
      <c r="I15" s="13" t="s">
        <v>135</v>
      </c>
      <c r="J15" s="14" t="n">
        <v>1290</v>
      </c>
    </row>
    <row r="16" customFormat="false" ht="23.85" hidden="false" customHeight="false" outlineLevel="0" collapsed="false">
      <c r="A16" s="15" t="s">
        <v>136</v>
      </c>
      <c r="B16" s="15" t="s">
        <v>137</v>
      </c>
      <c r="C16" s="15" t="s">
        <v>138</v>
      </c>
      <c r="D16" s="15" t="s">
        <v>107</v>
      </c>
      <c r="E16" s="15" t="s">
        <v>139</v>
      </c>
      <c r="F16" s="15" t="s">
        <v>58</v>
      </c>
      <c r="G16" s="15" t="s">
        <v>140</v>
      </c>
      <c r="H16" s="15" t="s">
        <v>141</v>
      </c>
      <c r="I16" s="15" t="s">
        <v>142</v>
      </c>
      <c r="J16" s="16" t="n">
        <v>1090</v>
      </c>
    </row>
    <row r="17" customFormat="false" ht="23.85" hidden="false" customHeight="false" outlineLevel="0" collapsed="false">
      <c r="A17" s="13" t="s">
        <v>143</v>
      </c>
      <c r="B17" s="13" t="s">
        <v>144</v>
      </c>
      <c r="C17" s="13" t="s">
        <v>138</v>
      </c>
      <c r="D17" s="13" t="s">
        <v>107</v>
      </c>
      <c r="E17" s="13" t="s">
        <v>145</v>
      </c>
      <c r="F17" s="13" t="s">
        <v>58</v>
      </c>
      <c r="G17" s="13" t="s">
        <v>146</v>
      </c>
      <c r="H17" s="13" t="s">
        <v>147</v>
      </c>
      <c r="I17" s="13" t="s">
        <v>148</v>
      </c>
      <c r="J17" s="14" t="n">
        <v>1190</v>
      </c>
    </row>
    <row r="18" customFormat="false" ht="23.85" hidden="false" customHeight="false" outlineLevel="0" collapsed="false">
      <c r="A18" s="15" t="s">
        <v>149</v>
      </c>
      <c r="B18" s="15" t="s">
        <v>150</v>
      </c>
      <c r="C18" s="15" t="s">
        <v>151</v>
      </c>
      <c r="D18" s="15" t="s">
        <v>107</v>
      </c>
      <c r="E18" s="15" t="s">
        <v>152</v>
      </c>
      <c r="F18" s="15" t="s">
        <v>58</v>
      </c>
      <c r="G18" s="15" t="s">
        <v>153</v>
      </c>
      <c r="H18" s="15" t="s">
        <v>154</v>
      </c>
      <c r="I18" s="15" t="s">
        <v>155</v>
      </c>
      <c r="J18" s="16" t="n">
        <v>895</v>
      </c>
    </row>
    <row r="19" customFormat="false" ht="23.85" hidden="false" customHeight="false" outlineLevel="0" collapsed="false">
      <c r="A19" s="13" t="s">
        <v>156</v>
      </c>
      <c r="B19" s="13" t="s">
        <v>157</v>
      </c>
      <c r="C19" s="13" t="s">
        <v>158</v>
      </c>
      <c r="D19" s="13" t="s">
        <v>107</v>
      </c>
      <c r="E19" s="13" t="s">
        <v>159</v>
      </c>
      <c r="F19" s="13" t="s">
        <v>58</v>
      </c>
      <c r="G19" s="13" t="s">
        <v>160</v>
      </c>
      <c r="H19" s="13" t="s">
        <v>161</v>
      </c>
      <c r="I19" s="13" t="s">
        <v>162</v>
      </c>
      <c r="J19" s="14" t="n">
        <v>950</v>
      </c>
    </row>
    <row r="20" customFormat="false" ht="35.05" hidden="false" customHeight="false" outlineLevel="0" collapsed="false">
      <c r="A20" s="15" t="s">
        <v>163</v>
      </c>
      <c r="B20" s="15" t="s">
        <v>164</v>
      </c>
      <c r="C20" s="15" t="s">
        <v>165</v>
      </c>
      <c r="D20" s="15" t="s">
        <v>166</v>
      </c>
      <c r="E20" s="15" t="s">
        <v>167</v>
      </c>
      <c r="F20" s="15" t="s">
        <v>58</v>
      </c>
      <c r="G20" s="15" t="s">
        <v>168</v>
      </c>
      <c r="H20" s="15" t="s">
        <v>169</v>
      </c>
      <c r="I20" s="15" t="s">
        <v>170</v>
      </c>
      <c r="J20" s="16" t="n">
        <v>2490</v>
      </c>
    </row>
    <row r="21" customFormat="false" ht="23.85" hidden="false" customHeight="false" outlineLevel="0" collapsed="false">
      <c r="A21" s="13" t="s">
        <v>171</v>
      </c>
      <c r="B21" s="13" t="s">
        <v>172</v>
      </c>
      <c r="C21" s="13" t="s">
        <v>173</v>
      </c>
      <c r="D21" s="13" t="s">
        <v>174</v>
      </c>
      <c r="E21" s="13" t="s">
        <v>175</v>
      </c>
      <c r="F21" s="13" t="s">
        <v>176</v>
      </c>
      <c r="G21" s="13" t="s">
        <v>177</v>
      </c>
      <c r="H21" s="13" t="s">
        <v>178</v>
      </c>
      <c r="I21" s="13" t="s">
        <v>179</v>
      </c>
      <c r="J21" s="14" t="n">
        <v>1890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14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8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8"/>
  </cols>
  <sheetData>
    <row r="1" customFormat="false" ht="17.35" hidden="false" customHeight="false" outlineLevel="0" collapsed="false">
      <c r="A1" s="5" t="s">
        <v>180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customFormat="false" ht="39.55" hidden="false" customHeight="false" outlineLevel="0" collapsed="false">
      <c r="A2" s="17" t="s">
        <v>43</v>
      </c>
      <c r="B2" s="17" t="s">
        <v>181</v>
      </c>
      <c r="C2" s="17" t="s">
        <v>45</v>
      </c>
      <c r="D2" s="17" t="s">
        <v>182</v>
      </c>
      <c r="E2" s="17" t="s">
        <v>183</v>
      </c>
      <c r="F2" s="17" t="s">
        <v>184</v>
      </c>
      <c r="G2" s="17" t="s">
        <v>185</v>
      </c>
      <c r="H2" s="17" t="s">
        <v>186</v>
      </c>
      <c r="I2" s="17" t="s">
        <v>187</v>
      </c>
      <c r="J2" s="17" t="s">
        <v>188</v>
      </c>
      <c r="K2" s="17" t="s">
        <v>189</v>
      </c>
      <c r="L2" s="17" t="s">
        <v>190</v>
      </c>
      <c r="M2" s="17" t="s">
        <v>191</v>
      </c>
      <c r="N2" s="17" t="s">
        <v>192</v>
      </c>
      <c r="O2" s="17" t="s">
        <v>193</v>
      </c>
      <c r="P2" s="17" t="s">
        <v>194</v>
      </c>
      <c r="Q2" s="17" t="s">
        <v>195</v>
      </c>
    </row>
    <row r="3" customFormat="false" ht="15" hidden="false" customHeight="false" outlineLevel="0" collapsed="false">
      <c r="A3" s="18" t="s">
        <v>53</v>
      </c>
      <c r="B3" s="18" t="s">
        <v>54</v>
      </c>
      <c r="C3" s="18" t="s">
        <v>55</v>
      </c>
      <c r="D3" s="19" t="n">
        <v>1012.99</v>
      </c>
      <c r="E3" s="20" t="n">
        <f aca="false">Assumptions!$C$3</f>
        <v>150</v>
      </c>
      <c r="F3" s="20" t="n">
        <f aca="false">Assumptions!$C$4</f>
        <v>25</v>
      </c>
      <c r="G3" s="21" t="n">
        <f aca="false">D3+E3+F3</f>
        <v>1187.99</v>
      </c>
      <c r="H3" s="19" t="n">
        <v>1750</v>
      </c>
      <c r="I3" s="19" t="n">
        <v>1950</v>
      </c>
      <c r="J3" s="21" t="n">
        <f aca="false">I3-G3</f>
        <v>762.01</v>
      </c>
      <c r="K3" s="22" t="n">
        <f aca="false">J3/I3</f>
        <v>0.390774358974359</v>
      </c>
      <c r="L3" s="23" t="n">
        <f aca="false">I3/D3</f>
        <v>1.92499432373469</v>
      </c>
      <c r="M3" s="20" t="n">
        <f aca="false">I3*Assumptions!$C$5</f>
        <v>48.75</v>
      </c>
      <c r="N3" s="20" t="n">
        <f aca="false">Assumptions!$C$6</f>
        <v>90</v>
      </c>
      <c r="O3" s="20" t="n">
        <f aca="false">Assumptions!$C$7</f>
        <v>120</v>
      </c>
      <c r="P3" s="21" t="n">
        <f aca="false">J3-M3-N3-O3</f>
        <v>503.26</v>
      </c>
      <c r="Q3" s="22" t="n">
        <f aca="false">P3/I3</f>
        <v>0.258082051282051</v>
      </c>
    </row>
    <row r="4" customFormat="false" ht="15" hidden="false" customHeight="false" outlineLevel="0" collapsed="false">
      <c r="A4" s="18" t="s">
        <v>62</v>
      </c>
      <c r="B4" s="18" t="s">
        <v>63</v>
      </c>
      <c r="C4" s="18" t="s">
        <v>55</v>
      </c>
      <c r="D4" s="19" t="n">
        <v>916.57</v>
      </c>
      <c r="E4" s="20" t="n">
        <f aca="false">Assumptions!$C$3</f>
        <v>150</v>
      </c>
      <c r="F4" s="20" t="n">
        <f aca="false">Assumptions!$C$4</f>
        <v>25</v>
      </c>
      <c r="G4" s="21" t="n">
        <f aca="false">D4+E4+F4</f>
        <v>1091.57</v>
      </c>
      <c r="H4" s="19" t="n">
        <v>1500</v>
      </c>
      <c r="I4" s="19" t="n">
        <v>1890</v>
      </c>
      <c r="J4" s="21" t="n">
        <f aca="false">I4-G4</f>
        <v>798.43</v>
      </c>
      <c r="K4" s="22" t="n">
        <f aca="false">J4/I4</f>
        <v>0.422449735449735</v>
      </c>
      <c r="L4" s="23" t="n">
        <f aca="false">I4/D4</f>
        <v>2.06203563284855</v>
      </c>
      <c r="M4" s="20" t="n">
        <f aca="false">I4*Assumptions!$C$5</f>
        <v>47.25</v>
      </c>
      <c r="N4" s="20" t="n">
        <f aca="false">Assumptions!$C$6</f>
        <v>90</v>
      </c>
      <c r="O4" s="20" t="n">
        <f aca="false">Assumptions!$C$7</f>
        <v>120</v>
      </c>
      <c r="P4" s="21" t="n">
        <f aca="false">J4-M4-N4-O4</f>
        <v>541.18</v>
      </c>
      <c r="Q4" s="22" t="n">
        <f aca="false">P4/I4</f>
        <v>0.286338624338624</v>
      </c>
    </row>
    <row r="5" customFormat="false" ht="15" hidden="false" customHeight="false" outlineLevel="0" collapsed="false">
      <c r="A5" s="18" t="s">
        <v>68</v>
      </c>
      <c r="B5" s="18" t="s">
        <v>69</v>
      </c>
      <c r="C5" s="18" t="s">
        <v>55</v>
      </c>
      <c r="D5" s="19" t="n">
        <v>1009.09</v>
      </c>
      <c r="E5" s="20" t="n">
        <f aca="false">Assumptions!$C$3</f>
        <v>150</v>
      </c>
      <c r="F5" s="20" t="n">
        <f aca="false">Assumptions!$C$4</f>
        <v>25</v>
      </c>
      <c r="G5" s="21" t="n">
        <f aca="false">D5+E5+F5</f>
        <v>1184.09</v>
      </c>
      <c r="H5" s="19" t="n">
        <v>1750</v>
      </c>
      <c r="I5" s="19" t="n">
        <v>2190</v>
      </c>
      <c r="J5" s="21" t="n">
        <f aca="false">I5-G5</f>
        <v>1005.91</v>
      </c>
      <c r="K5" s="22" t="n">
        <f aca="false">J5/I5</f>
        <v>0.459319634703196</v>
      </c>
      <c r="L5" s="23" t="n">
        <f aca="false">I5/D5</f>
        <v>2.17027222547047</v>
      </c>
      <c r="M5" s="20" t="n">
        <f aca="false">I5*Assumptions!$C$5</f>
        <v>54.75</v>
      </c>
      <c r="N5" s="20" t="n">
        <f aca="false">Assumptions!$C$6</f>
        <v>90</v>
      </c>
      <c r="O5" s="20" t="n">
        <f aca="false">Assumptions!$C$7</f>
        <v>120</v>
      </c>
      <c r="P5" s="21" t="n">
        <f aca="false">J5-M5-N5-O5</f>
        <v>741.16</v>
      </c>
      <c r="Q5" s="22" t="n">
        <f aca="false">P5/I5</f>
        <v>0.338429223744292</v>
      </c>
    </row>
    <row r="6" customFormat="false" ht="15" hidden="false" customHeight="false" outlineLevel="0" collapsed="false">
      <c r="A6" s="18" t="s">
        <v>74</v>
      </c>
      <c r="B6" s="18" t="s">
        <v>75</v>
      </c>
      <c r="C6" s="18" t="s">
        <v>55</v>
      </c>
      <c r="D6" s="19" t="n">
        <v>1085</v>
      </c>
      <c r="E6" s="20" t="n">
        <f aca="false">Assumptions!$C$3</f>
        <v>150</v>
      </c>
      <c r="F6" s="20" t="n">
        <f aca="false">Assumptions!$C$4</f>
        <v>25</v>
      </c>
      <c r="G6" s="21" t="n">
        <f aca="false">D6+E6+F6</f>
        <v>1260</v>
      </c>
      <c r="H6" s="19" t="n">
        <v>2300</v>
      </c>
      <c r="I6" s="19" t="n">
        <v>2450</v>
      </c>
      <c r="J6" s="21" t="n">
        <f aca="false">I6-G6</f>
        <v>1190</v>
      </c>
      <c r="K6" s="22" t="n">
        <f aca="false">J6/I6</f>
        <v>0.485714285714286</v>
      </c>
      <c r="L6" s="23" t="n">
        <f aca="false">I6/D6</f>
        <v>2.25806451612903</v>
      </c>
      <c r="M6" s="20" t="n">
        <f aca="false">I6*Assumptions!$C$5</f>
        <v>61.25</v>
      </c>
      <c r="N6" s="20" t="n">
        <f aca="false">Assumptions!$C$6</f>
        <v>90</v>
      </c>
      <c r="O6" s="20" t="n">
        <f aca="false">Assumptions!$C$7</f>
        <v>120</v>
      </c>
      <c r="P6" s="21" t="n">
        <f aca="false">J6-M6-N6-O6</f>
        <v>918.75</v>
      </c>
      <c r="Q6" s="22" t="n">
        <f aca="false">P6/I6</f>
        <v>0.375</v>
      </c>
    </row>
    <row r="7" customFormat="false" ht="15" hidden="false" customHeight="false" outlineLevel="0" collapsed="false">
      <c r="A7" s="18" t="s">
        <v>80</v>
      </c>
      <c r="B7" s="18" t="s">
        <v>81</v>
      </c>
      <c r="C7" s="18" t="s">
        <v>55</v>
      </c>
      <c r="D7" s="19" t="n">
        <v>1083.17</v>
      </c>
      <c r="E7" s="20" t="n">
        <f aca="false">Assumptions!$C$3</f>
        <v>150</v>
      </c>
      <c r="F7" s="20" t="n">
        <f aca="false">Assumptions!$C$4</f>
        <v>25</v>
      </c>
      <c r="G7" s="21" t="n">
        <f aca="false">D7+E7+F7</f>
        <v>1258.17</v>
      </c>
      <c r="H7" s="19" t="n">
        <v>2300</v>
      </c>
      <c r="I7" s="19" t="n">
        <v>2450</v>
      </c>
      <c r="J7" s="21" t="n">
        <f aca="false">I7-G7</f>
        <v>1191.83</v>
      </c>
      <c r="K7" s="22" t="n">
        <f aca="false">J7/I7</f>
        <v>0.486461224489796</v>
      </c>
      <c r="L7" s="23" t="n">
        <f aca="false">I7/D7</f>
        <v>2.26187948336826</v>
      </c>
      <c r="M7" s="20" t="n">
        <f aca="false">I7*Assumptions!$C$5</f>
        <v>61.25</v>
      </c>
      <c r="N7" s="20" t="n">
        <f aca="false">Assumptions!$C$6</f>
        <v>90</v>
      </c>
      <c r="O7" s="20" t="n">
        <f aca="false">Assumptions!$C$7</f>
        <v>120</v>
      </c>
      <c r="P7" s="21" t="n">
        <f aca="false">J7-M7-N7-O7</f>
        <v>920.58</v>
      </c>
      <c r="Q7" s="22" t="n">
        <f aca="false">P7/I7</f>
        <v>0.37574693877551</v>
      </c>
    </row>
    <row r="8" customFormat="false" ht="15" hidden="false" customHeight="false" outlineLevel="0" collapsed="false">
      <c r="A8" s="18" t="s">
        <v>86</v>
      </c>
      <c r="B8" s="18" t="s">
        <v>87</v>
      </c>
      <c r="C8" s="18" t="s">
        <v>55</v>
      </c>
      <c r="D8" s="19" t="n">
        <v>1069.03</v>
      </c>
      <c r="E8" s="20" t="n">
        <f aca="false">Assumptions!$C$3</f>
        <v>150</v>
      </c>
      <c r="F8" s="20" t="n">
        <f aca="false">Assumptions!$C$4</f>
        <v>25</v>
      </c>
      <c r="G8" s="21" t="n">
        <f aca="false">D8+E8+F8</f>
        <v>1244.03</v>
      </c>
      <c r="H8" s="19" t="n">
        <v>2450</v>
      </c>
      <c r="I8" s="19" t="n">
        <v>2450</v>
      </c>
      <c r="J8" s="21" t="n">
        <f aca="false">I8-G8</f>
        <v>1205.97</v>
      </c>
      <c r="K8" s="22" t="n">
        <f aca="false">J8/I8</f>
        <v>0.492232653061225</v>
      </c>
      <c r="L8" s="23" t="n">
        <f aca="false">I8/D8</f>
        <v>2.29179723674733</v>
      </c>
      <c r="M8" s="20" t="n">
        <f aca="false">I8*Assumptions!$C$5</f>
        <v>61.25</v>
      </c>
      <c r="N8" s="20" t="n">
        <f aca="false">Assumptions!$C$6</f>
        <v>90</v>
      </c>
      <c r="O8" s="20" t="n">
        <f aca="false">Assumptions!$C$7</f>
        <v>120</v>
      </c>
      <c r="P8" s="21" t="n">
        <f aca="false">J8-M8-N8-O8</f>
        <v>934.72</v>
      </c>
      <c r="Q8" s="22" t="n">
        <f aca="false">P8/I8</f>
        <v>0.381518367346939</v>
      </c>
    </row>
    <row r="9" customFormat="false" ht="15" hidden="false" customHeight="false" outlineLevel="0" collapsed="false">
      <c r="A9" s="18" t="s">
        <v>92</v>
      </c>
      <c r="B9" s="18" t="s">
        <v>93</v>
      </c>
      <c r="C9" s="18" t="s">
        <v>55</v>
      </c>
      <c r="D9" s="19" t="n">
        <v>1346.9</v>
      </c>
      <c r="E9" s="20" t="n">
        <f aca="false">Assumptions!$C$3</f>
        <v>150</v>
      </c>
      <c r="F9" s="20" t="n">
        <f aca="false">Assumptions!$C$4</f>
        <v>25</v>
      </c>
      <c r="G9" s="21" t="n">
        <f aca="false">D9+E9+F9</f>
        <v>1521.9</v>
      </c>
      <c r="H9" s="19" t="n">
        <v>2450</v>
      </c>
      <c r="I9" s="19" t="n">
        <v>2650</v>
      </c>
      <c r="J9" s="21" t="n">
        <f aca="false">I9-G9</f>
        <v>1128.1</v>
      </c>
      <c r="K9" s="22" t="n">
        <f aca="false">J9/I9</f>
        <v>0.425698113207547</v>
      </c>
      <c r="L9" s="23" t="n">
        <f aca="false">I9/D9</f>
        <v>1.96748088202539</v>
      </c>
      <c r="M9" s="20" t="n">
        <f aca="false">I9*Assumptions!$C$5</f>
        <v>66.25</v>
      </c>
      <c r="N9" s="20" t="n">
        <f aca="false">Assumptions!$C$6</f>
        <v>90</v>
      </c>
      <c r="O9" s="20" t="n">
        <f aca="false">Assumptions!$C$7</f>
        <v>120</v>
      </c>
      <c r="P9" s="21" t="n">
        <f aca="false">J9-M9-N9-O9</f>
        <v>851.85</v>
      </c>
      <c r="Q9" s="22" t="n">
        <f aca="false">P9/I9</f>
        <v>0.321452830188679</v>
      </c>
    </row>
    <row r="10" customFormat="false" ht="15" hidden="false" customHeight="false" outlineLevel="0" collapsed="false">
      <c r="A10" s="18" t="s">
        <v>98</v>
      </c>
      <c r="B10" s="18" t="s">
        <v>99</v>
      </c>
      <c r="C10" s="18" t="s">
        <v>55</v>
      </c>
      <c r="D10" s="19" t="n">
        <v>1317.39</v>
      </c>
      <c r="E10" s="20" t="n">
        <f aca="false">Assumptions!$C$3</f>
        <v>150</v>
      </c>
      <c r="F10" s="20" t="n">
        <f aca="false">Assumptions!$C$4</f>
        <v>25</v>
      </c>
      <c r="G10" s="21" t="n">
        <f aca="false">D10+E10+F10</f>
        <v>1492.39</v>
      </c>
      <c r="H10" s="19" t="n">
        <v>2450</v>
      </c>
      <c r="I10" s="19" t="n">
        <v>2650</v>
      </c>
      <c r="J10" s="21" t="n">
        <f aca="false">I10-G10</f>
        <v>1157.61</v>
      </c>
      <c r="K10" s="22" t="n">
        <f aca="false">J10/I10</f>
        <v>0.436833962264151</v>
      </c>
      <c r="L10" s="23" t="n">
        <f aca="false">I10/D10</f>
        <v>2.01155314675229</v>
      </c>
      <c r="M10" s="20" t="n">
        <f aca="false">I10*Assumptions!$C$5</f>
        <v>66.25</v>
      </c>
      <c r="N10" s="20" t="n">
        <f aca="false">Assumptions!$C$6</f>
        <v>90</v>
      </c>
      <c r="O10" s="20" t="n">
        <f aca="false">Assumptions!$C$7</f>
        <v>120</v>
      </c>
      <c r="P10" s="21" t="n">
        <f aca="false">J10-M10-N10-O10</f>
        <v>881.36</v>
      </c>
      <c r="Q10" s="22" t="n">
        <f aca="false">P10/I10</f>
        <v>0.332588679245283</v>
      </c>
    </row>
    <row r="11" customFormat="false" ht="15" hidden="false" customHeight="false" outlineLevel="0" collapsed="false">
      <c r="A11" s="18" t="s">
        <v>104</v>
      </c>
      <c r="B11" s="18" t="s">
        <v>105</v>
      </c>
      <c r="C11" s="18" t="s">
        <v>106</v>
      </c>
      <c r="D11" s="19" t="n">
        <v>415.56</v>
      </c>
      <c r="E11" s="20" t="n">
        <f aca="false">Assumptions!$C$3</f>
        <v>150</v>
      </c>
      <c r="F11" s="20" t="n">
        <f aca="false">Assumptions!$C$4</f>
        <v>25</v>
      </c>
      <c r="G11" s="21" t="n">
        <f aca="false">D11+E11+F11</f>
        <v>590.56</v>
      </c>
      <c r="H11" s="19" t="n">
        <v>780</v>
      </c>
      <c r="I11" s="19" t="n">
        <v>990</v>
      </c>
      <c r="J11" s="21" t="n">
        <f aca="false">I11-G11</f>
        <v>399.44</v>
      </c>
      <c r="K11" s="22" t="n">
        <f aca="false">J11/I11</f>
        <v>0.403474747474748</v>
      </c>
      <c r="L11" s="23" t="n">
        <f aca="false">I11/D11</f>
        <v>2.38232746173838</v>
      </c>
      <c r="M11" s="20" t="n">
        <f aca="false">I11*Assumptions!$C$5</f>
        <v>24.75</v>
      </c>
      <c r="N11" s="20" t="n">
        <f aca="false">Assumptions!$C$6</f>
        <v>90</v>
      </c>
      <c r="O11" s="20" t="n">
        <f aca="false">Assumptions!$C$7</f>
        <v>120</v>
      </c>
      <c r="P11" s="21" t="n">
        <f aca="false">J11-M11-N11-O11</f>
        <v>164.69</v>
      </c>
      <c r="Q11" s="22" t="n">
        <f aca="false">P11/I11</f>
        <v>0.166353535353535</v>
      </c>
    </row>
    <row r="12" customFormat="false" ht="15" hidden="false" customHeight="false" outlineLevel="0" collapsed="false">
      <c r="A12" s="18" t="s">
        <v>112</v>
      </c>
      <c r="B12" s="18" t="s">
        <v>113</v>
      </c>
      <c r="C12" s="18" t="s">
        <v>106</v>
      </c>
      <c r="D12" s="19" t="n">
        <v>485.94</v>
      </c>
      <c r="E12" s="20" t="n">
        <f aca="false">Assumptions!$C$3</f>
        <v>150</v>
      </c>
      <c r="F12" s="20" t="n">
        <f aca="false">Assumptions!$C$4</f>
        <v>25</v>
      </c>
      <c r="G12" s="21" t="n">
        <f aca="false">D12+E12+F12</f>
        <v>660.94</v>
      </c>
      <c r="H12" s="19" t="n">
        <v>750</v>
      </c>
      <c r="I12" s="19" t="n">
        <v>1090</v>
      </c>
      <c r="J12" s="21" t="n">
        <f aca="false">I12-G12</f>
        <v>429.06</v>
      </c>
      <c r="K12" s="22" t="n">
        <f aca="false">J12/I12</f>
        <v>0.393633027522936</v>
      </c>
      <c r="L12" s="23" t="n">
        <f aca="false">I12/D12</f>
        <v>2.24307527678314</v>
      </c>
      <c r="M12" s="20" t="n">
        <f aca="false">I12*Assumptions!$C$5</f>
        <v>27.25</v>
      </c>
      <c r="N12" s="20" t="n">
        <f aca="false">Assumptions!$C$6</f>
        <v>90</v>
      </c>
      <c r="O12" s="20" t="n">
        <f aca="false">Assumptions!$C$7</f>
        <v>120</v>
      </c>
      <c r="P12" s="21" t="n">
        <f aca="false">J12-M12-N12-O12</f>
        <v>191.81</v>
      </c>
      <c r="Q12" s="22" t="n">
        <f aca="false">P12/I12</f>
        <v>0.17597247706422</v>
      </c>
    </row>
    <row r="13" customFormat="false" ht="15" hidden="false" customHeight="false" outlineLevel="0" collapsed="false">
      <c r="A13" s="18" t="s">
        <v>118</v>
      </c>
      <c r="B13" s="18" t="s">
        <v>119</v>
      </c>
      <c r="C13" s="18" t="s">
        <v>106</v>
      </c>
      <c r="D13" s="19" t="n">
        <v>500.06</v>
      </c>
      <c r="E13" s="20" t="n">
        <f aca="false">Assumptions!$C$3</f>
        <v>150</v>
      </c>
      <c r="F13" s="20" t="n">
        <f aca="false">Assumptions!$C$4</f>
        <v>25</v>
      </c>
      <c r="G13" s="21" t="n">
        <f aca="false">D13+E13+F13</f>
        <v>675.06</v>
      </c>
      <c r="H13" s="19" t="n">
        <v>780</v>
      </c>
      <c r="I13" s="19" t="n">
        <v>1090</v>
      </c>
      <c r="J13" s="21" t="n">
        <f aca="false">I13-G13</f>
        <v>414.94</v>
      </c>
      <c r="K13" s="22" t="n">
        <f aca="false">J13/I13</f>
        <v>0.380678899082569</v>
      </c>
      <c r="L13" s="23" t="n">
        <f aca="false">I13/D13</f>
        <v>2.17973843138823</v>
      </c>
      <c r="M13" s="20" t="n">
        <f aca="false">I13*Assumptions!$C$5</f>
        <v>27.25</v>
      </c>
      <c r="N13" s="20" t="n">
        <f aca="false">Assumptions!$C$6</f>
        <v>90</v>
      </c>
      <c r="O13" s="20" t="n">
        <f aca="false">Assumptions!$C$7</f>
        <v>120</v>
      </c>
      <c r="P13" s="21" t="n">
        <f aca="false">J13-M13-N13-O13</f>
        <v>177.69</v>
      </c>
      <c r="Q13" s="22" t="n">
        <f aca="false">P13/I13</f>
        <v>0.163018348623853</v>
      </c>
    </row>
    <row r="14" customFormat="false" ht="15" hidden="false" customHeight="false" outlineLevel="0" collapsed="false">
      <c r="A14" s="18" t="s">
        <v>124</v>
      </c>
      <c r="B14" s="18" t="s">
        <v>125</v>
      </c>
      <c r="C14" s="18" t="s">
        <v>106</v>
      </c>
      <c r="D14" s="19" t="n">
        <v>614.74</v>
      </c>
      <c r="E14" s="20" t="n">
        <f aca="false">Assumptions!$C$3</f>
        <v>150</v>
      </c>
      <c r="F14" s="20" t="n">
        <f aca="false">Assumptions!$C$4</f>
        <v>25</v>
      </c>
      <c r="G14" s="21" t="n">
        <f aca="false">D14+E14+F14</f>
        <v>789.74</v>
      </c>
      <c r="H14" s="19" t="n">
        <v>895</v>
      </c>
      <c r="I14" s="19" t="n">
        <v>1250</v>
      </c>
      <c r="J14" s="21" t="n">
        <f aca="false">I14-G14</f>
        <v>460.26</v>
      </c>
      <c r="K14" s="22" t="n">
        <f aca="false">J14/I14</f>
        <v>0.368208</v>
      </c>
      <c r="L14" s="23" t="n">
        <f aca="false">I14/D14</f>
        <v>2.03337996551388</v>
      </c>
      <c r="M14" s="20" t="n">
        <f aca="false">I14*Assumptions!$C$5</f>
        <v>31.25</v>
      </c>
      <c r="N14" s="20" t="n">
        <f aca="false">Assumptions!$C$6</f>
        <v>90</v>
      </c>
      <c r="O14" s="20" t="n">
        <f aca="false">Assumptions!$C$7</f>
        <v>120</v>
      </c>
      <c r="P14" s="21" t="n">
        <f aca="false">J14-M14-N14-O14</f>
        <v>219.01</v>
      </c>
      <c r="Q14" s="22" t="n">
        <f aca="false">P14/I14</f>
        <v>0.175208</v>
      </c>
    </row>
    <row r="15" customFormat="false" ht="15" hidden="false" customHeight="false" outlineLevel="0" collapsed="false">
      <c r="A15" s="18" t="s">
        <v>130</v>
      </c>
      <c r="B15" s="18" t="s">
        <v>131</v>
      </c>
      <c r="C15" s="18" t="s">
        <v>106</v>
      </c>
      <c r="D15" s="19" t="n">
        <v>644.25</v>
      </c>
      <c r="E15" s="20" t="n">
        <f aca="false">Assumptions!$C$3</f>
        <v>150</v>
      </c>
      <c r="F15" s="20" t="n">
        <f aca="false">Assumptions!$C$4</f>
        <v>25</v>
      </c>
      <c r="G15" s="21" t="n">
        <f aca="false">D15+E15+F15</f>
        <v>819.25</v>
      </c>
      <c r="H15" s="19" t="n">
        <v>895</v>
      </c>
      <c r="I15" s="19" t="n">
        <v>1290</v>
      </c>
      <c r="J15" s="21" t="n">
        <f aca="false">I15-G15</f>
        <v>470.75</v>
      </c>
      <c r="K15" s="22" t="n">
        <f aca="false">J15/I15</f>
        <v>0.364922480620155</v>
      </c>
      <c r="L15" s="23" t="n">
        <f aca="false">I15/D15</f>
        <v>2.0023282887078</v>
      </c>
      <c r="M15" s="20" t="n">
        <f aca="false">I15*Assumptions!$C$5</f>
        <v>32.25</v>
      </c>
      <c r="N15" s="20" t="n">
        <f aca="false">Assumptions!$C$6</f>
        <v>90</v>
      </c>
      <c r="O15" s="20" t="n">
        <f aca="false">Assumptions!$C$7</f>
        <v>120</v>
      </c>
      <c r="P15" s="21" t="n">
        <f aca="false">J15-M15-N15-O15</f>
        <v>228.5</v>
      </c>
      <c r="Q15" s="22" t="n">
        <f aca="false">P15/I15</f>
        <v>0.177131782945736</v>
      </c>
    </row>
    <row r="16" customFormat="false" ht="15" hidden="false" customHeight="false" outlineLevel="0" collapsed="false">
      <c r="A16" s="18" t="s">
        <v>136</v>
      </c>
      <c r="B16" s="18" t="s">
        <v>137</v>
      </c>
      <c r="C16" s="18" t="s">
        <v>138</v>
      </c>
      <c r="D16" s="19" t="n">
        <v>349.54</v>
      </c>
      <c r="E16" s="20" t="n">
        <f aca="false">Assumptions!$C$3</f>
        <v>150</v>
      </c>
      <c r="F16" s="20" t="n">
        <f aca="false">Assumptions!$C$4</f>
        <v>25</v>
      </c>
      <c r="G16" s="21" t="n">
        <f aca="false">D16+E16+F16</f>
        <v>524.54</v>
      </c>
      <c r="H16" s="19" t="n">
        <v>730</v>
      </c>
      <c r="I16" s="19" t="n">
        <v>1090</v>
      </c>
      <c r="J16" s="21" t="n">
        <f aca="false">I16-G16</f>
        <v>565.46</v>
      </c>
      <c r="K16" s="22" t="n">
        <f aca="false">J16/I16</f>
        <v>0.518770642201835</v>
      </c>
      <c r="L16" s="23" t="n">
        <f aca="false">I16/D16</f>
        <v>3.11838416204154</v>
      </c>
      <c r="M16" s="20" t="n">
        <f aca="false">I16*Assumptions!$C$5</f>
        <v>27.25</v>
      </c>
      <c r="N16" s="20" t="n">
        <f aca="false">Assumptions!$C$6</f>
        <v>90</v>
      </c>
      <c r="O16" s="20" t="n">
        <f aca="false">Assumptions!$C$7</f>
        <v>120</v>
      </c>
      <c r="P16" s="21" t="n">
        <f aca="false">J16-M16-N16-O16</f>
        <v>328.21</v>
      </c>
      <c r="Q16" s="22" t="n">
        <f aca="false">P16/I16</f>
        <v>0.301110091743119</v>
      </c>
    </row>
    <row r="17" customFormat="false" ht="15" hidden="false" customHeight="false" outlineLevel="0" collapsed="false">
      <c r="A17" s="18" t="s">
        <v>143</v>
      </c>
      <c r="B17" s="18" t="s">
        <v>144</v>
      </c>
      <c r="C17" s="18" t="s">
        <v>138</v>
      </c>
      <c r="D17" s="19" t="n">
        <v>417.73</v>
      </c>
      <c r="E17" s="20" t="n">
        <f aca="false">Assumptions!$C$3</f>
        <v>150</v>
      </c>
      <c r="F17" s="20" t="n">
        <f aca="false">Assumptions!$C$4</f>
        <v>25</v>
      </c>
      <c r="G17" s="21" t="n">
        <f aca="false">D17+E17+F17</f>
        <v>592.73</v>
      </c>
      <c r="H17" s="19" t="n">
        <v>780</v>
      </c>
      <c r="I17" s="19" t="n">
        <v>1190</v>
      </c>
      <c r="J17" s="21" t="n">
        <f aca="false">I17-G17</f>
        <v>597.27</v>
      </c>
      <c r="K17" s="22" t="n">
        <f aca="false">J17/I17</f>
        <v>0.50190756302521</v>
      </c>
      <c r="L17" s="23" t="n">
        <f aca="false">I17/D17</f>
        <v>2.84873004093553</v>
      </c>
      <c r="M17" s="20" t="n">
        <f aca="false">I17*Assumptions!$C$5</f>
        <v>29.75</v>
      </c>
      <c r="N17" s="20" t="n">
        <f aca="false">Assumptions!$C$6</f>
        <v>90</v>
      </c>
      <c r="O17" s="20" t="n">
        <f aca="false">Assumptions!$C$7</f>
        <v>120</v>
      </c>
      <c r="P17" s="21" t="n">
        <f aca="false">J17-M17-N17-O17</f>
        <v>357.52</v>
      </c>
      <c r="Q17" s="22" t="n">
        <f aca="false">P17/I17</f>
        <v>0.300436974789916</v>
      </c>
    </row>
    <row r="18" customFormat="false" ht="15" hidden="false" customHeight="false" outlineLevel="0" collapsed="false">
      <c r="A18" s="18" t="s">
        <v>149</v>
      </c>
      <c r="B18" s="18" t="s">
        <v>150</v>
      </c>
      <c r="C18" s="18" t="s">
        <v>151</v>
      </c>
      <c r="D18" s="19" t="n">
        <v>393.17</v>
      </c>
      <c r="E18" s="20" t="n">
        <f aca="false">Assumptions!$C$3</f>
        <v>150</v>
      </c>
      <c r="F18" s="20" t="n">
        <f aca="false">Assumptions!$C$4</f>
        <v>25</v>
      </c>
      <c r="G18" s="21" t="n">
        <f aca="false">D18+E18+F18</f>
        <v>568.17</v>
      </c>
      <c r="H18" s="19" t="n">
        <v>595</v>
      </c>
      <c r="I18" s="19" t="n">
        <v>895</v>
      </c>
      <c r="J18" s="21" t="n">
        <f aca="false">I18-G18</f>
        <v>326.83</v>
      </c>
      <c r="K18" s="22" t="n">
        <f aca="false">J18/I18</f>
        <v>0.365173184357542</v>
      </c>
      <c r="L18" s="23" t="n">
        <f aca="false">I18/D18</f>
        <v>2.27636900068673</v>
      </c>
      <c r="M18" s="20" t="n">
        <f aca="false">I18*Assumptions!$C$5</f>
        <v>22.375</v>
      </c>
      <c r="N18" s="20" t="n">
        <f aca="false">Assumptions!$C$6</f>
        <v>90</v>
      </c>
      <c r="O18" s="20" t="n">
        <f aca="false">Assumptions!$C$7</f>
        <v>120</v>
      </c>
      <c r="P18" s="21" t="n">
        <f aca="false">J18-M18-N18-O18</f>
        <v>94.4549999999999</v>
      </c>
      <c r="Q18" s="22" t="n">
        <f aca="false">P18/I18</f>
        <v>0.105536312849162</v>
      </c>
    </row>
    <row r="19" customFormat="false" ht="15" hidden="false" customHeight="false" outlineLevel="0" collapsed="false">
      <c r="A19" s="18" t="s">
        <v>156</v>
      </c>
      <c r="B19" s="18" t="s">
        <v>157</v>
      </c>
      <c r="C19" s="18" t="s">
        <v>158</v>
      </c>
      <c r="D19" s="19" t="n">
        <v>422.94</v>
      </c>
      <c r="E19" s="20" t="n">
        <f aca="false">Assumptions!$C$3</f>
        <v>150</v>
      </c>
      <c r="F19" s="20" t="n">
        <f aca="false">Assumptions!$C$4</f>
        <v>25</v>
      </c>
      <c r="G19" s="21" t="n">
        <f aca="false">D19+E19+F19</f>
        <v>597.94</v>
      </c>
      <c r="H19" s="19" t="n">
        <v>680</v>
      </c>
      <c r="I19" s="19" t="n">
        <v>950</v>
      </c>
      <c r="J19" s="21" t="n">
        <f aca="false">I19-G19</f>
        <v>352.06</v>
      </c>
      <c r="K19" s="22" t="n">
        <f aca="false">J19/I19</f>
        <v>0.37058947368421</v>
      </c>
      <c r="L19" s="23" t="n">
        <f aca="false">I19/D19</f>
        <v>2.24618149146451</v>
      </c>
      <c r="M19" s="20" t="n">
        <f aca="false">I19*Assumptions!$C$5</f>
        <v>23.75</v>
      </c>
      <c r="N19" s="20" t="n">
        <f aca="false">Assumptions!$C$6</f>
        <v>90</v>
      </c>
      <c r="O19" s="20" t="n">
        <f aca="false">Assumptions!$C$7</f>
        <v>120</v>
      </c>
      <c r="P19" s="21" t="n">
        <f aca="false">J19-M19-N19-O19</f>
        <v>118.31</v>
      </c>
      <c r="Q19" s="22" t="n">
        <f aca="false">P19/I19</f>
        <v>0.124536842105263</v>
      </c>
    </row>
    <row r="20" customFormat="false" ht="15" hidden="false" customHeight="false" outlineLevel="0" collapsed="false">
      <c r="A20" s="18" t="s">
        <v>163</v>
      </c>
      <c r="B20" s="18" t="s">
        <v>164</v>
      </c>
      <c r="C20" s="18" t="s">
        <v>165</v>
      </c>
      <c r="D20" s="19" t="n">
        <v>1255.91</v>
      </c>
      <c r="E20" s="20" t="n">
        <f aca="false">Assumptions!$C$3</f>
        <v>150</v>
      </c>
      <c r="F20" s="20" t="n">
        <f aca="false">Assumptions!$C$4</f>
        <v>25</v>
      </c>
      <c r="G20" s="21" t="n">
        <f aca="false">D20+E20+F20</f>
        <v>1430.91</v>
      </c>
      <c r="H20" s="19" t="n">
        <v>2450</v>
      </c>
      <c r="I20" s="19" t="n">
        <v>2490</v>
      </c>
      <c r="J20" s="21" t="n">
        <f aca="false">I20-G20</f>
        <v>1059.09</v>
      </c>
      <c r="K20" s="22" t="n">
        <f aca="false">J20/I20</f>
        <v>0.42533734939759</v>
      </c>
      <c r="L20" s="23" t="n">
        <f aca="false">I20/D20</f>
        <v>1.98262614359309</v>
      </c>
      <c r="M20" s="20" t="n">
        <f aca="false">I20*Assumptions!$C$5</f>
        <v>62.25</v>
      </c>
      <c r="N20" s="20" t="n">
        <f aca="false">Assumptions!$C$6</f>
        <v>90</v>
      </c>
      <c r="O20" s="20" t="n">
        <f aca="false">Assumptions!$C$7</f>
        <v>120</v>
      </c>
      <c r="P20" s="21" t="n">
        <f aca="false">J20-M20-N20-O20</f>
        <v>786.84</v>
      </c>
      <c r="Q20" s="22" t="n">
        <f aca="false">P20/I20</f>
        <v>0.316</v>
      </c>
    </row>
    <row r="21" customFormat="false" ht="15" hidden="false" customHeight="false" outlineLevel="0" collapsed="false">
      <c r="A21" s="18" t="s">
        <v>171</v>
      </c>
      <c r="B21" s="18" t="s">
        <v>172</v>
      </c>
      <c r="C21" s="18" t="s">
        <v>173</v>
      </c>
      <c r="D21" s="19" t="n">
        <v>835.16</v>
      </c>
      <c r="E21" s="20" t="n">
        <f aca="false">Assumptions!$C$3</f>
        <v>150</v>
      </c>
      <c r="F21" s="20" t="n">
        <f aca="false">Assumptions!$C$4</f>
        <v>25</v>
      </c>
      <c r="G21" s="21" t="n">
        <f aca="false">D21+E21+F21</f>
        <v>1010.16</v>
      </c>
      <c r="H21" s="19" t="n">
        <v>1800</v>
      </c>
      <c r="I21" s="19" t="n">
        <v>1890</v>
      </c>
      <c r="J21" s="21" t="n">
        <f aca="false">I21-G21</f>
        <v>879.84</v>
      </c>
      <c r="K21" s="22" t="n">
        <f aca="false">J21/I21</f>
        <v>0.46552380952381</v>
      </c>
      <c r="L21" s="23" t="n">
        <f aca="false">I21/D21</f>
        <v>2.26303941759663</v>
      </c>
      <c r="M21" s="20" t="n">
        <f aca="false">I21*Assumptions!$C$5</f>
        <v>47.25</v>
      </c>
      <c r="N21" s="20" t="n">
        <f aca="false">Assumptions!$C$6</f>
        <v>90</v>
      </c>
      <c r="O21" s="20" t="n">
        <f aca="false">Assumptions!$C$7</f>
        <v>120</v>
      </c>
      <c r="P21" s="21" t="n">
        <f aca="false">J21-M21-N21-O21</f>
        <v>622.59</v>
      </c>
      <c r="Q21" s="22" t="n">
        <f aca="false">P21/I21</f>
        <v>0.329412698412698</v>
      </c>
    </row>
    <row r="22" customFormat="false" ht="15" hidden="false" customHeight="false" outlineLevel="0" collapsed="false">
      <c r="C22" s="4" t="s">
        <v>196</v>
      </c>
      <c r="J22" s="24" t="n">
        <f aca="false">AVERAGE(J3:J21)</f>
        <v>757.624210526316</v>
      </c>
      <c r="K22" s="25" t="n">
        <f aca="false">AVERAGE(K3:K21)</f>
        <v>0.429352797092363</v>
      </c>
      <c r="L22" s="26" t="n">
        <f aca="false">AVERAGE(L3:L21)</f>
        <v>2.23811879618555</v>
      </c>
      <c r="P22" s="24" t="n">
        <f aca="false">AVERAGE(P3:P21)</f>
        <v>504.341315789474</v>
      </c>
      <c r="Q22" s="25" t="n">
        <f aca="false">AVERAGE(Q3:Q21)</f>
        <v>0.263361777832046</v>
      </c>
    </row>
    <row r="24" customFormat="false" ht="15" hidden="false" customHeight="false" outlineLevel="0" collapsed="false">
      <c r="B24" s="27" t="s">
        <v>197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0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5" t="s">
        <v>198</v>
      </c>
      <c r="B1" s="5"/>
      <c r="C1" s="5"/>
      <c r="D1" s="5"/>
      <c r="E1" s="5"/>
      <c r="F1" s="5"/>
    </row>
    <row r="2" customFormat="false" ht="26.85" hidden="false" customHeight="false" outlineLevel="0" collapsed="false">
      <c r="A2" s="12" t="s">
        <v>45</v>
      </c>
      <c r="B2" s="12" t="s">
        <v>199</v>
      </c>
      <c r="C2" s="12" t="s">
        <v>200</v>
      </c>
      <c r="D2" s="12" t="s">
        <v>201</v>
      </c>
      <c r="E2" s="12" t="s">
        <v>202</v>
      </c>
      <c r="F2" s="12" t="s">
        <v>203</v>
      </c>
    </row>
    <row r="3" customFormat="false" ht="15" hidden="false" customHeight="false" outlineLevel="0" collapsed="false">
      <c r="A3" s="13" t="s">
        <v>204</v>
      </c>
      <c r="B3" s="13" t="s">
        <v>205</v>
      </c>
      <c r="C3" s="13" t="s">
        <v>206</v>
      </c>
      <c r="D3" s="13" t="s">
        <v>207</v>
      </c>
      <c r="E3" s="13" t="s">
        <v>208</v>
      </c>
      <c r="F3" s="28" t="s">
        <v>209</v>
      </c>
    </row>
    <row r="4" customFormat="false" ht="15" hidden="false" customHeight="false" outlineLevel="0" collapsed="false">
      <c r="A4" s="15" t="s">
        <v>138</v>
      </c>
      <c r="B4" s="15" t="s">
        <v>210</v>
      </c>
      <c r="C4" s="15" t="s">
        <v>211</v>
      </c>
      <c r="D4" s="15" t="s">
        <v>212</v>
      </c>
      <c r="E4" s="15" t="s">
        <v>213</v>
      </c>
      <c r="F4" s="29" t="s">
        <v>214</v>
      </c>
    </row>
    <row r="5" customFormat="false" ht="15" hidden="false" customHeight="false" outlineLevel="0" collapsed="false">
      <c r="A5" s="13" t="s">
        <v>215</v>
      </c>
      <c r="B5" s="13" t="s">
        <v>216</v>
      </c>
      <c r="C5" s="13" t="s">
        <v>217</v>
      </c>
      <c r="D5" s="13" t="s">
        <v>218</v>
      </c>
      <c r="E5" s="13" t="s">
        <v>219</v>
      </c>
      <c r="F5" s="28" t="s">
        <v>220</v>
      </c>
    </row>
    <row r="6" customFormat="false" ht="15" hidden="false" customHeight="false" outlineLevel="0" collapsed="false">
      <c r="A6" s="15" t="s">
        <v>221</v>
      </c>
      <c r="B6" s="15" t="s">
        <v>222</v>
      </c>
      <c r="C6" s="15" t="s">
        <v>223</v>
      </c>
      <c r="D6" s="15" t="s">
        <v>224</v>
      </c>
      <c r="E6" s="15" t="s">
        <v>225</v>
      </c>
      <c r="F6" s="29" t="s">
        <v>226</v>
      </c>
    </row>
    <row r="7" customFormat="false" ht="15" hidden="false" customHeight="false" outlineLevel="0" collapsed="false">
      <c r="A7" s="13" t="s">
        <v>227</v>
      </c>
      <c r="B7" s="13" t="s">
        <v>228</v>
      </c>
      <c r="C7" s="13" t="s">
        <v>229</v>
      </c>
      <c r="D7" s="13" t="s">
        <v>230</v>
      </c>
      <c r="E7" s="13" t="s">
        <v>231</v>
      </c>
      <c r="F7" s="28" t="s">
        <v>232</v>
      </c>
    </row>
    <row r="8" customFormat="false" ht="15" hidden="false" customHeight="false" outlineLevel="0" collapsed="false">
      <c r="A8" s="15" t="s">
        <v>233</v>
      </c>
      <c r="B8" s="15" t="s">
        <v>234</v>
      </c>
      <c r="C8" s="15" t="s">
        <v>235</v>
      </c>
      <c r="D8" s="15" t="s">
        <v>236</v>
      </c>
      <c r="E8" s="15" t="s">
        <v>237</v>
      </c>
      <c r="F8" s="29" t="s">
        <v>238</v>
      </c>
    </row>
    <row r="9" customFormat="false" ht="15" hidden="false" customHeight="false" outlineLevel="0" collapsed="false">
      <c r="A9" s="13" t="s">
        <v>239</v>
      </c>
      <c r="B9" s="13" t="s">
        <v>240</v>
      </c>
      <c r="C9" s="13" t="s">
        <v>241</v>
      </c>
      <c r="D9" s="13" t="s">
        <v>240</v>
      </c>
      <c r="E9" s="13" t="s">
        <v>242</v>
      </c>
      <c r="F9" s="28" t="s">
        <v>243</v>
      </c>
    </row>
    <row r="11" customFormat="false" ht="15" hidden="false" customHeight="false" outlineLevel="0" collapsed="false">
      <c r="A11" s="27" t="s">
        <v>244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5" t="s">
        <v>245</v>
      </c>
      <c r="B1" s="5"/>
      <c r="C1" s="5"/>
      <c r="D1" s="5"/>
      <c r="E1" s="5"/>
    </row>
    <row r="2" customFormat="false" ht="15" hidden="false" customHeight="false" outlineLevel="0" collapsed="false">
      <c r="A2" s="6" t="s">
        <v>246</v>
      </c>
      <c r="B2" s="6" t="s">
        <v>24</v>
      </c>
      <c r="C2" s="6" t="s">
        <v>247</v>
      </c>
    </row>
    <row r="3" customFormat="false" ht="15" hidden="false" customHeight="false" outlineLevel="0" collapsed="false">
      <c r="A3" s="30" t="s">
        <v>248</v>
      </c>
      <c r="B3" s="31" t="n">
        <f aca="false">COUNTA('Pricing Model'!A3:A21)</f>
        <v>19</v>
      </c>
      <c r="C3" s="32" t="s">
        <v>249</v>
      </c>
    </row>
    <row r="4" customFormat="false" ht="15" hidden="false" customHeight="false" outlineLevel="0" collapsed="false">
      <c r="A4" s="33" t="s">
        <v>250</v>
      </c>
      <c r="B4" s="34" t="n">
        <f aca="false">'Pricing Model'!K22</f>
        <v>0.429352797092363</v>
      </c>
      <c r="C4" s="35" t="s">
        <v>251</v>
      </c>
    </row>
    <row r="5" customFormat="false" ht="15" hidden="false" customHeight="false" outlineLevel="0" collapsed="false">
      <c r="A5" s="30" t="s">
        <v>252</v>
      </c>
      <c r="B5" s="36" t="n">
        <f aca="false">'Pricing Model'!Q22</f>
        <v>0.263361777832046</v>
      </c>
      <c r="C5" s="32" t="s">
        <v>253</v>
      </c>
    </row>
    <row r="6" customFormat="false" ht="15" hidden="false" customHeight="false" outlineLevel="0" collapsed="false">
      <c r="A6" s="33" t="s">
        <v>254</v>
      </c>
      <c r="B6" s="37" t="n">
        <f aca="false">'Pricing Model'!J22</f>
        <v>757.624210526316</v>
      </c>
      <c r="C6" s="35" t="s">
        <v>255</v>
      </c>
    </row>
    <row r="7" customFormat="false" ht="15" hidden="false" customHeight="false" outlineLevel="0" collapsed="false">
      <c r="A7" s="30" t="s">
        <v>256</v>
      </c>
      <c r="B7" s="38" t="n">
        <f aca="false">'Pricing Model'!P22</f>
        <v>504.341315789474</v>
      </c>
      <c r="C7" s="32" t="s">
        <v>257</v>
      </c>
    </row>
    <row r="8" customFormat="false" ht="15" hidden="false" customHeight="false" outlineLevel="0" collapsed="false">
      <c r="A8" s="33" t="s">
        <v>258</v>
      </c>
      <c r="B8" s="37" t="n">
        <f aca="false">AVERAGE('Pricing Model'!I3:I21)-AVERAGE('Pricing Model'!H3:H21)</f>
        <v>253.157894736842</v>
      </c>
      <c r="C8" s="35" t="s">
        <v>259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2026-05-31T09:25:37Z</dcterms:created>
  <dc:creator>openpyxl</dc:creator>
  <dc:description/>
  <dc:language>en-US</dc:language>
  <cp:lastModifiedBy/>
  <dcterms:modified xsi:type="dcterms:W3CDTF">2026-05-31T09:25:37Z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